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Pictures\HORIZON TECH PROJECT\"/>
    </mc:Choice>
  </mc:AlternateContent>
  <bookViews>
    <workbookView xWindow="0" yWindow="0" windowWidth="20490" windowHeight="7755" firstSheet="2" activeTab="6"/>
  </bookViews>
  <sheets>
    <sheet name="pivot_hires_by_dept" sheetId="5" r:id="rId1"/>
    <sheet name="pivot_time_to_hire" sheetId="12" r:id="rId2"/>
    <sheet name="hires" sheetId="1" r:id="rId3"/>
    <sheet name="pivot_acceptance_by_source" sheetId="13" r:id="rId4"/>
    <sheet name="candidate" sheetId="2" r:id="rId5"/>
    <sheet name="departments" sheetId="3" r:id="rId6"/>
    <sheet name="pivot_fill_rate_summary" sheetId="8" r:id="rId7"/>
    <sheet name="job_openings" sheetId="4" r:id="rId8"/>
  </sheets>
  <definedNames>
    <definedName name="candidates" localSheetId="4">candidate!$A$1:$E$2143</definedName>
    <definedName name="departments" localSheetId="5">departments!$A$1:$B$6</definedName>
    <definedName name="job_openings" localSheetId="7">job_openings!$A$1:$F$61</definedName>
  </definedNames>
  <calcPr calcId="152511"/>
  <pivotCaches>
    <pivotCache cacheId="19" r:id="rId9"/>
    <pivotCache cacheId="7" r:id="rId10"/>
  </pivotCaches>
</workbook>
</file>

<file path=xl/calcChain.xml><?xml version="1.0" encoding="utf-8"?>
<calcChain xmlns="http://schemas.openxmlformats.org/spreadsheetml/2006/main">
  <c r="P13" i="1" l="1"/>
  <c r="P14" i="1"/>
  <c r="P15" i="1"/>
  <c r="P12" i="1"/>
  <c r="O15" i="1"/>
  <c r="O14" i="1"/>
  <c r="O13" i="1"/>
  <c r="O12" i="1"/>
  <c r="N15" i="1"/>
  <c r="N14" i="1"/>
  <c r="N13" i="1"/>
  <c r="N1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" i="1"/>
  <c r="G3" i="8"/>
  <c r="G4" i="8"/>
  <c r="G5" i="8"/>
  <c r="G6" i="8"/>
  <c r="G2" i="8"/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2" i="4"/>
  <c r="G3" i="1"/>
  <c r="H3" i="1" s="1"/>
  <c r="I3" i="1" s="1"/>
  <c r="G4" i="1"/>
  <c r="H4" i="1" s="1"/>
  <c r="I4" i="1" s="1"/>
  <c r="G5" i="1"/>
  <c r="H5" i="1" s="1"/>
  <c r="I5" i="1" s="1"/>
  <c r="G6" i="1"/>
  <c r="H6" i="1" s="1"/>
  <c r="I6" i="1" s="1"/>
  <c r="G7" i="1"/>
  <c r="H7" i="1" s="1"/>
  <c r="I7" i="1" s="1"/>
  <c r="G8" i="1"/>
  <c r="H8" i="1" s="1"/>
  <c r="I8" i="1" s="1"/>
  <c r="G9" i="1"/>
  <c r="H9" i="1" s="1"/>
  <c r="I9" i="1" s="1"/>
  <c r="G10" i="1"/>
  <c r="H10" i="1" s="1"/>
  <c r="I10" i="1" s="1"/>
  <c r="G11" i="1"/>
  <c r="H11" i="1" s="1"/>
  <c r="I11" i="1" s="1"/>
  <c r="G12" i="1"/>
  <c r="H12" i="1" s="1"/>
  <c r="I12" i="1" s="1"/>
  <c r="G13" i="1"/>
  <c r="H13" i="1" s="1"/>
  <c r="I13" i="1" s="1"/>
  <c r="G14" i="1"/>
  <c r="H14" i="1" s="1"/>
  <c r="I14" i="1" s="1"/>
  <c r="G15" i="1"/>
  <c r="H15" i="1" s="1"/>
  <c r="I15" i="1" s="1"/>
  <c r="G16" i="1"/>
  <c r="H16" i="1" s="1"/>
  <c r="I16" i="1" s="1"/>
  <c r="G17" i="1"/>
  <c r="H17" i="1" s="1"/>
  <c r="I17" i="1" s="1"/>
  <c r="G18" i="1"/>
  <c r="H18" i="1" s="1"/>
  <c r="I18" i="1" s="1"/>
  <c r="G19" i="1"/>
  <c r="H19" i="1" s="1"/>
  <c r="I19" i="1" s="1"/>
  <c r="G20" i="1"/>
  <c r="H20" i="1" s="1"/>
  <c r="I20" i="1" s="1"/>
  <c r="G21" i="1"/>
  <c r="H21" i="1" s="1"/>
  <c r="I21" i="1" s="1"/>
  <c r="G22" i="1"/>
  <c r="H22" i="1" s="1"/>
  <c r="I22" i="1" s="1"/>
  <c r="G23" i="1"/>
  <c r="H23" i="1" s="1"/>
  <c r="I23" i="1" s="1"/>
  <c r="G24" i="1"/>
  <c r="H24" i="1" s="1"/>
  <c r="I24" i="1" s="1"/>
  <c r="G25" i="1"/>
  <c r="H25" i="1" s="1"/>
  <c r="I25" i="1" s="1"/>
  <c r="G26" i="1"/>
  <c r="H26" i="1" s="1"/>
  <c r="I26" i="1" s="1"/>
  <c r="G27" i="1"/>
  <c r="H27" i="1" s="1"/>
  <c r="I27" i="1" s="1"/>
  <c r="G28" i="1"/>
  <c r="H28" i="1" s="1"/>
  <c r="I28" i="1" s="1"/>
  <c r="G29" i="1"/>
  <c r="H29" i="1" s="1"/>
  <c r="I29" i="1" s="1"/>
  <c r="G30" i="1"/>
  <c r="H30" i="1" s="1"/>
  <c r="I30" i="1" s="1"/>
  <c r="G31" i="1"/>
  <c r="H31" i="1" s="1"/>
  <c r="I31" i="1" s="1"/>
  <c r="G32" i="1"/>
  <c r="H32" i="1" s="1"/>
  <c r="I32" i="1" s="1"/>
  <c r="G33" i="1"/>
  <c r="H33" i="1" s="1"/>
  <c r="I33" i="1" s="1"/>
  <c r="G34" i="1"/>
  <c r="H34" i="1" s="1"/>
  <c r="I34" i="1" s="1"/>
  <c r="G35" i="1"/>
  <c r="H35" i="1" s="1"/>
  <c r="I35" i="1" s="1"/>
  <c r="G36" i="1"/>
  <c r="H36" i="1" s="1"/>
  <c r="I36" i="1" s="1"/>
  <c r="G37" i="1"/>
  <c r="H37" i="1" s="1"/>
  <c r="I37" i="1" s="1"/>
  <c r="G38" i="1"/>
  <c r="H38" i="1" s="1"/>
  <c r="I38" i="1" s="1"/>
  <c r="G39" i="1"/>
  <c r="H39" i="1" s="1"/>
  <c r="I39" i="1" s="1"/>
  <c r="G40" i="1"/>
  <c r="H40" i="1" s="1"/>
  <c r="I40" i="1" s="1"/>
  <c r="G41" i="1"/>
  <c r="H41" i="1" s="1"/>
  <c r="I41" i="1" s="1"/>
  <c r="G42" i="1"/>
  <c r="H42" i="1" s="1"/>
  <c r="I42" i="1" s="1"/>
  <c r="G43" i="1"/>
  <c r="H43" i="1" s="1"/>
  <c r="I43" i="1" s="1"/>
  <c r="G44" i="1"/>
  <c r="H44" i="1" s="1"/>
  <c r="I44" i="1" s="1"/>
  <c r="G45" i="1"/>
  <c r="H45" i="1" s="1"/>
  <c r="I45" i="1" s="1"/>
  <c r="G46" i="1"/>
  <c r="H46" i="1" s="1"/>
  <c r="I46" i="1" s="1"/>
  <c r="G47" i="1"/>
  <c r="H47" i="1" s="1"/>
  <c r="I47" i="1" s="1"/>
  <c r="G48" i="1"/>
  <c r="H48" i="1" s="1"/>
  <c r="I48" i="1" s="1"/>
  <c r="G49" i="1"/>
  <c r="H49" i="1" s="1"/>
  <c r="I49" i="1" s="1"/>
  <c r="G50" i="1"/>
  <c r="H50" i="1" s="1"/>
  <c r="I50" i="1" s="1"/>
  <c r="G51" i="1"/>
  <c r="H51" i="1" s="1"/>
  <c r="I51" i="1" s="1"/>
  <c r="G52" i="1"/>
  <c r="H52" i="1" s="1"/>
  <c r="I52" i="1" s="1"/>
  <c r="G53" i="1"/>
  <c r="H53" i="1" s="1"/>
  <c r="I53" i="1" s="1"/>
  <c r="G54" i="1"/>
  <c r="H54" i="1" s="1"/>
  <c r="I54" i="1" s="1"/>
  <c r="G55" i="1"/>
  <c r="H55" i="1" s="1"/>
  <c r="I55" i="1" s="1"/>
  <c r="G56" i="1"/>
  <c r="H56" i="1" s="1"/>
  <c r="I56" i="1" s="1"/>
  <c r="G57" i="1"/>
  <c r="H57" i="1" s="1"/>
  <c r="I57" i="1" s="1"/>
  <c r="G58" i="1"/>
  <c r="H58" i="1" s="1"/>
  <c r="I58" i="1" s="1"/>
  <c r="G59" i="1"/>
  <c r="H59" i="1" s="1"/>
  <c r="I59" i="1" s="1"/>
  <c r="G60" i="1"/>
  <c r="H60" i="1" s="1"/>
  <c r="I60" i="1" s="1"/>
  <c r="G61" i="1"/>
  <c r="H61" i="1" s="1"/>
  <c r="I61" i="1" s="1"/>
  <c r="G62" i="1"/>
  <c r="H62" i="1" s="1"/>
  <c r="I62" i="1" s="1"/>
  <c r="G63" i="1"/>
  <c r="H63" i="1" s="1"/>
  <c r="I63" i="1" s="1"/>
  <c r="G64" i="1"/>
  <c r="H64" i="1" s="1"/>
  <c r="I64" i="1" s="1"/>
  <c r="G65" i="1"/>
  <c r="H65" i="1" s="1"/>
  <c r="I65" i="1" s="1"/>
  <c r="G66" i="1"/>
  <c r="H66" i="1" s="1"/>
  <c r="I66" i="1" s="1"/>
  <c r="G67" i="1"/>
  <c r="H67" i="1" s="1"/>
  <c r="I67" i="1" s="1"/>
  <c r="G68" i="1"/>
  <c r="H68" i="1" s="1"/>
  <c r="I68" i="1" s="1"/>
  <c r="G69" i="1"/>
  <c r="H69" i="1" s="1"/>
  <c r="I69" i="1" s="1"/>
  <c r="G70" i="1"/>
  <c r="H70" i="1" s="1"/>
  <c r="I70" i="1" s="1"/>
  <c r="G71" i="1"/>
  <c r="H71" i="1" s="1"/>
  <c r="I71" i="1" s="1"/>
  <c r="G72" i="1"/>
  <c r="H72" i="1" s="1"/>
  <c r="I72" i="1" s="1"/>
  <c r="G73" i="1"/>
  <c r="H73" i="1" s="1"/>
  <c r="I73" i="1" s="1"/>
  <c r="G74" i="1"/>
  <c r="H74" i="1" s="1"/>
  <c r="I74" i="1" s="1"/>
  <c r="G75" i="1"/>
  <c r="H75" i="1" s="1"/>
  <c r="I75" i="1" s="1"/>
  <c r="G76" i="1"/>
  <c r="H76" i="1" s="1"/>
  <c r="I76" i="1" s="1"/>
  <c r="G77" i="1"/>
  <c r="H77" i="1" s="1"/>
  <c r="I77" i="1" s="1"/>
  <c r="G78" i="1"/>
  <c r="H78" i="1" s="1"/>
  <c r="I78" i="1" s="1"/>
  <c r="G79" i="1"/>
  <c r="H79" i="1" s="1"/>
  <c r="I79" i="1" s="1"/>
  <c r="G80" i="1"/>
  <c r="H80" i="1" s="1"/>
  <c r="I80" i="1" s="1"/>
  <c r="G81" i="1"/>
  <c r="H81" i="1" s="1"/>
  <c r="I81" i="1" s="1"/>
  <c r="G82" i="1"/>
  <c r="H82" i="1" s="1"/>
  <c r="I82" i="1" s="1"/>
  <c r="G83" i="1"/>
  <c r="H83" i="1" s="1"/>
  <c r="I83" i="1" s="1"/>
  <c r="G84" i="1"/>
  <c r="H84" i="1" s="1"/>
  <c r="I84" i="1" s="1"/>
  <c r="G85" i="1"/>
  <c r="H85" i="1" s="1"/>
  <c r="I85" i="1" s="1"/>
  <c r="G86" i="1"/>
  <c r="H86" i="1" s="1"/>
  <c r="I86" i="1" s="1"/>
  <c r="G87" i="1"/>
  <c r="H87" i="1" s="1"/>
  <c r="I87" i="1" s="1"/>
  <c r="G88" i="1"/>
  <c r="H88" i="1" s="1"/>
  <c r="I88" i="1" s="1"/>
  <c r="G89" i="1"/>
  <c r="H89" i="1" s="1"/>
  <c r="I89" i="1" s="1"/>
  <c r="G90" i="1"/>
  <c r="H90" i="1" s="1"/>
  <c r="I90" i="1" s="1"/>
  <c r="G91" i="1"/>
  <c r="H91" i="1" s="1"/>
  <c r="I91" i="1" s="1"/>
  <c r="G92" i="1"/>
  <c r="H92" i="1" s="1"/>
  <c r="I92" i="1" s="1"/>
  <c r="G93" i="1"/>
  <c r="H93" i="1" s="1"/>
  <c r="I93" i="1" s="1"/>
  <c r="G94" i="1"/>
  <c r="H94" i="1" s="1"/>
  <c r="I94" i="1" s="1"/>
  <c r="G95" i="1"/>
  <c r="H95" i="1" s="1"/>
  <c r="I95" i="1" s="1"/>
  <c r="G96" i="1"/>
  <c r="H96" i="1" s="1"/>
  <c r="I96" i="1" s="1"/>
  <c r="G97" i="1"/>
  <c r="H97" i="1" s="1"/>
  <c r="I97" i="1" s="1"/>
  <c r="G98" i="1"/>
  <c r="H98" i="1" s="1"/>
  <c r="I98" i="1" s="1"/>
  <c r="G99" i="1"/>
  <c r="H99" i="1" s="1"/>
  <c r="I99" i="1" s="1"/>
  <c r="G100" i="1"/>
  <c r="H100" i="1" s="1"/>
  <c r="I100" i="1" s="1"/>
  <c r="G101" i="1"/>
  <c r="H101" i="1" s="1"/>
  <c r="I101" i="1" s="1"/>
  <c r="G102" i="1"/>
  <c r="H102" i="1" s="1"/>
  <c r="I102" i="1" s="1"/>
  <c r="G103" i="1"/>
  <c r="H103" i="1" s="1"/>
  <c r="I103" i="1" s="1"/>
  <c r="G104" i="1"/>
  <c r="H104" i="1" s="1"/>
  <c r="I104" i="1" s="1"/>
  <c r="G105" i="1"/>
  <c r="H105" i="1" s="1"/>
  <c r="I105" i="1" s="1"/>
  <c r="G106" i="1"/>
  <c r="H106" i="1" s="1"/>
  <c r="I106" i="1" s="1"/>
  <c r="G107" i="1"/>
  <c r="H107" i="1" s="1"/>
  <c r="I107" i="1" s="1"/>
  <c r="G108" i="1"/>
  <c r="H108" i="1" s="1"/>
  <c r="I108" i="1" s="1"/>
  <c r="G109" i="1"/>
  <c r="H109" i="1" s="1"/>
  <c r="I109" i="1" s="1"/>
  <c r="G110" i="1"/>
  <c r="H110" i="1" s="1"/>
  <c r="I110" i="1" s="1"/>
  <c r="G111" i="1"/>
  <c r="H111" i="1" s="1"/>
  <c r="I111" i="1" s="1"/>
  <c r="G112" i="1"/>
  <c r="H112" i="1" s="1"/>
  <c r="I112" i="1" s="1"/>
  <c r="G113" i="1"/>
  <c r="H113" i="1" s="1"/>
  <c r="I113" i="1" s="1"/>
  <c r="G114" i="1"/>
  <c r="H114" i="1" s="1"/>
  <c r="I114" i="1" s="1"/>
  <c r="G115" i="1"/>
  <c r="H115" i="1" s="1"/>
  <c r="I115" i="1" s="1"/>
  <c r="G116" i="1"/>
  <c r="H116" i="1" s="1"/>
  <c r="I116" i="1" s="1"/>
  <c r="G117" i="1"/>
  <c r="H117" i="1" s="1"/>
  <c r="I117" i="1" s="1"/>
  <c r="G118" i="1"/>
  <c r="H118" i="1" s="1"/>
  <c r="I118" i="1" s="1"/>
  <c r="G119" i="1"/>
  <c r="H119" i="1" s="1"/>
  <c r="I119" i="1" s="1"/>
  <c r="G120" i="1"/>
  <c r="H120" i="1" s="1"/>
  <c r="I120" i="1" s="1"/>
  <c r="G121" i="1"/>
  <c r="H121" i="1" s="1"/>
  <c r="I121" i="1" s="1"/>
  <c r="G122" i="1"/>
  <c r="H122" i="1" s="1"/>
  <c r="I122" i="1" s="1"/>
  <c r="G123" i="1"/>
  <c r="H123" i="1" s="1"/>
  <c r="I123" i="1" s="1"/>
  <c r="G124" i="1"/>
  <c r="H124" i="1" s="1"/>
  <c r="I124" i="1" s="1"/>
  <c r="G125" i="1"/>
  <c r="H125" i="1" s="1"/>
  <c r="I125" i="1" s="1"/>
  <c r="G126" i="1"/>
  <c r="H126" i="1" s="1"/>
  <c r="I126" i="1" s="1"/>
  <c r="G127" i="1"/>
  <c r="H127" i="1" s="1"/>
  <c r="I127" i="1" s="1"/>
  <c r="G128" i="1"/>
  <c r="H128" i="1" s="1"/>
  <c r="I128" i="1" s="1"/>
  <c r="G129" i="1"/>
  <c r="H129" i="1" s="1"/>
  <c r="I129" i="1" s="1"/>
  <c r="G130" i="1"/>
  <c r="H130" i="1" s="1"/>
  <c r="I130" i="1" s="1"/>
  <c r="G131" i="1"/>
  <c r="H131" i="1" s="1"/>
  <c r="I131" i="1" s="1"/>
  <c r="G132" i="1"/>
  <c r="H132" i="1" s="1"/>
  <c r="I132" i="1" s="1"/>
  <c r="G133" i="1"/>
  <c r="H133" i="1" s="1"/>
  <c r="I133" i="1" s="1"/>
  <c r="G134" i="1"/>
  <c r="H134" i="1" s="1"/>
  <c r="I134" i="1" s="1"/>
  <c r="G135" i="1"/>
  <c r="H135" i="1" s="1"/>
  <c r="I135" i="1" s="1"/>
  <c r="G136" i="1"/>
  <c r="H136" i="1" s="1"/>
  <c r="I136" i="1" s="1"/>
  <c r="G137" i="1"/>
  <c r="H137" i="1" s="1"/>
  <c r="I137" i="1" s="1"/>
  <c r="G138" i="1"/>
  <c r="H138" i="1" s="1"/>
  <c r="I138" i="1" s="1"/>
  <c r="G139" i="1"/>
  <c r="H139" i="1" s="1"/>
  <c r="I139" i="1" s="1"/>
  <c r="G140" i="1"/>
  <c r="H140" i="1" s="1"/>
  <c r="I140" i="1" s="1"/>
  <c r="G141" i="1"/>
  <c r="H141" i="1" s="1"/>
  <c r="I141" i="1" s="1"/>
  <c r="G142" i="1"/>
  <c r="H142" i="1" s="1"/>
  <c r="I142" i="1" s="1"/>
  <c r="G143" i="1"/>
  <c r="H143" i="1" s="1"/>
  <c r="I143" i="1" s="1"/>
  <c r="G144" i="1"/>
  <c r="H144" i="1" s="1"/>
  <c r="I144" i="1" s="1"/>
  <c r="G145" i="1"/>
  <c r="H145" i="1" s="1"/>
  <c r="I145" i="1" s="1"/>
  <c r="G146" i="1"/>
  <c r="H146" i="1" s="1"/>
  <c r="I146" i="1" s="1"/>
  <c r="G147" i="1"/>
  <c r="H147" i="1" s="1"/>
  <c r="I147" i="1" s="1"/>
  <c r="G148" i="1"/>
  <c r="H148" i="1" s="1"/>
  <c r="I148" i="1" s="1"/>
  <c r="G149" i="1"/>
  <c r="H149" i="1" s="1"/>
  <c r="I149" i="1" s="1"/>
  <c r="G150" i="1"/>
  <c r="H150" i="1" s="1"/>
  <c r="I150" i="1" s="1"/>
  <c r="G151" i="1"/>
  <c r="H151" i="1" s="1"/>
  <c r="I151" i="1" s="1"/>
  <c r="G152" i="1"/>
  <c r="H152" i="1" s="1"/>
  <c r="I152" i="1" s="1"/>
  <c r="G153" i="1"/>
  <c r="H153" i="1" s="1"/>
  <c r="I153" i="1" s="1"/>
  <c r="G154" i="1"/>
  <c r="H154" i="1" s="1"/>
  <c r="I154" i="1" s="1"/>
  <c r="G155" i="1"/>
  <c r="H155" i="1" s="1"/>
  <c r="I155" i="1" s="1"/>
  <c r="G156" i="1"/>
  <c r="H156" i="1" s="1"/>
  <c r="I156" i="1" s="1"/>
  <c r="G157" i="1"/>
  <c r="H157" i="1" s="1"/>
  <c r="I157" i="1" s="1"/>
  <c r="G158" i="1"/>
  <c r="H158" i="1" s="1"/>
  <c r="I158" i="1" s="1"/>
  <c r="G159" i="1"/>
  <c r="H159" i="1" s="1"/>
  <c r="I159" i="1" s="1"/>
  <c r="G160" i="1"/>
  <c r="H160" i="1" s="1"/>
  <c r="I160" i="1" s="1"/>
  <c r="G161" i="1"/>
  <c r="H161" i="1" s="1"/>
  <c r="I161" i="1" s="1"/>
  <c r="G162" i="1"/>
  <c r="H162" i="1" s="1"/>
  <c r="I162" i="1" s="1"/>
  <c r="G163" i="1"/>
  <c r="H163" i="1" s="1"/>
  <c r="I163" i="1" s="1"/>
  <c r="G164" i="1"/>
  <c r="H164" i="1" s="1"/>
  <c r="I164" i="1" s="1"/>
  <c r="G165" i="1"/>
  <c r="H165" i="1" s="1"/>
  <c r="I165" i="1" s="1"/>
  <c r="G166" i="1"/>
  <c r="H166" i="1" s="1"/>
  <c r="I166" i="1" s="1"/>
  <c r="G167" i="1"/>
  <c r="H167" i="1" s="1"/>
  <c r="I167" i="1" s="1"/>
  <c r="G168" i="1"/>
  <c r="H168" i="1" s="1"/>
  <c r="I168" i="1" s="1"/>
  <c r="G169" i="1"/>
  <c r="H169" i="1" s="1"/>
  <c r="I169" i="1" s="1"/>
  <c r="G170" i="1"/>
  <c r="H170" i="1" s="1"/>
  <c r="I170" i="1" s="1"/>
  <c r="G171" i="1"/>
  <c r="H171" i="1" s="1"/>
  <c r="I171" i="1" s="1"/>
  <c r="G172" i="1"/>
  <c r="H172" i="1" s="1"/>
  <c r="I172" i="1" s="1"/>
  <c r="G173" i="1"/>
  <c r="H173" i="1" s="1"/>
  <c r="I173" i="1" s="1"/>
  <c r="G174" i="1"/>
  <c r="H174" i="1" s="1"/>
  <c r="I174" i="1" s="1"/>
  <c r="G175" i="1"/>
  <c r="H175" i="1" s="1"/>
  <c r="I175" i="1" s="1"/>
  <c r="G176" i="1"/>
  <c r="H176" i="1" s="1"/>
  <c r="I176" i="1" s="1"/>
  <c r="G177" i="1"/>
  <c r="H177" i="1" s="1"/>
  <c r="I177" i="1" s="1"/>
  <c r="G178" i="1"/>
  <c r="H178" i="1" s="1"/>
  <c r="I178" i="1" s="1"/>
  <c r="G179" i="1"/>
  <c r="H179" i="1" s="1"/>
  <c r="I179" i="1" s="1"/>
  <c r="G180" i="1"/>
  <c r="H180" i="1" s="1"/>
  <c r="I180" i="1" s="1"/>
  <c r="G181" i="1"/>
  <c r="H181" i="1" s="1"/>
  <c r="I181" i="1" s="1"/>
  <c r="G182" i="1"/>
  <c r="H182" i="1" s="1"/>
  <c r="I182" i="1" s="1"/>
  <c r="G183" i="1"/>
  <c r="H183" i="1" s="1"/>
  <c r="I183" i="1" s="1"/>
  <c r="G184" i="1"/>
  <c r="H184" i="1" s="1"/>
  <c r="I184" i="1" s="1"/>
  <c r="G185" i="1"/>
  <c r="H185" i="1" s="1"/>
  <c r="I185" i="1" s="1"/>
  <c r="G186" i="1"/>
  <c r="H186" i="1" s="1"/>
  <c r="I186" i="1" s="1"/>
  <c r="G187" i="1"/>
  <c r="H187" i="1" s="1"/>
  <c r="I187" i="1" s="1"/>
  <c r="G188" i="1"/>
  <c r="H188" i="1" s="1"/>
  <c r="I188" i="1" s="1"/>
  <c r="G189" i="1"/>
  <c r="H189" i="1" s="1"/>
  <c r="I189" i="1" s="1"/>
  <c r="G190" i="1"/>
  <c r="H190" i="1" s="1"/>
  <c r="I190" i="1" s="1"/>
  <c r="G191" i="1"/>
  <c r="H191" i="1" s="1"/>
  <c r="I191" i="1" s="1"/>
  <c r="G192" i="1"/>
  <c r="H192" i="1" s="1"/>
  <c r="I192" i="1" s="1"/>
  <c r="G193" i="1"/>
  <c r="H193" i="1" s="1"/>
  <c r="I193" i="1" s="1"/>
  <c r="G194" i="1"/>
  <c r="H194" i="1" s="1"/>
  <c r="I194" i="1" s="1"/>
  <c r="G195" i="1"/>
  <c r="H195" i="1" s="1"/>
  <c r="I195" i="1" s="1"/>
  <c r="G196" i="1"/>
  <c r="H196" i="1" s="1"/>
  <c r="I196" i="1" s="1"/>
  <c r="G197" i="1"/>
  <c r="H197" i="1" s="1"/>
  <c r="I197" i="1" s="1"/>
  <c r="G198" i="1"/>
  <c r="H198" i="1" s="1"/>
  <c r="I198" i="1" s="1"/>
  <c r="G199" i="1"/>
  <c r="H199" i="1" s="1"/>
  <c r="I199" i="1" s="1"/>
  <c r="G200" i="1"/>
  <c r="H200" i="1" s="1"/>
  <c r="I200" i="1" s="1"/>
  <c r="G201" i="1"/>
  <c r="H201" i="1" s="1"/>
  <c r="I201" i="1" s="1"/>
  <c r="G202" i="1"/>
  <c r="H202" i="1" s="1"/>
  <c r="I202" i="1" s="1"/>
  <c r="G203" i="1"/>
  <c r="H203" i="1" s="1"/>
  <c r="I203" i="1" s="1"/>
  <c r="G204" i="1"/>
  <c r="H204" i="1" s="1"/>
  <c r="I204" i="1" s="1"/>
  <c r="G205" i="1"/>
  <c r="H205" i="1" s="1"/>
  <c r="I205" i="1" s="1"/>
  <c r="G206" i="1"/>
  <c r="H206" i="1" s="1"/>
  <c r="I206" i="1" s="1"/>
  <c r="G207" i="1"/>
  <c r="H207" i="1" s="1"/>
  <c r="I207" i="1" s="1"/>
  <c r="G208" i="1"/>
  <c r="H208" i="1" s="1"/>
  <c r="I208" i="1" s="1"/>
  <c r="G209" i="1"/>
  <c r="H209" i="1" s="1"/>
  <c r="I209" i="1" s="1"/>
  <c r="G210" i="1"/>
  <c r="H210" i="1" s="1"/>
  <c r="I210" i="1" s="1"/>
  <c r="G211" i="1"/>
  <c r="H211" i="1" s="1"/>
  <c r="I211" i="1" s="1"/>
  <c r="G212" i="1"/>
  <c r="H212" i="1" s="1"/>
  <c r="I212" i="1" s="1"/>
  <c r="G213" i="1"/>
  <c r="H213" i="1" s="1"/>
  <c r="I213" i="1" s="1"/>
  <c r="G214" i="1"/>
  <c r="H214" i="1" s="1"/>
  <c r="I214" i="1" s="1"/>
  <c r="G215" i="1"/>
  <c r="H215" i="1" s="1"/>
  <c r="I215" i="1" s="1"/>
  <c r="G216" i="1"/>
  <c r="H216" i="1" s="1"/>
  <c r="I216" i="1" s="1"/>
  <c r="G217" i="1"/>
  <c r="H217" i="1" s="1"/>
  <c r="I217" i="1" s="1"/>
  <c r="G218" i="1"/>
  <c r="H218" i="1" s="1"/>
  <c r="I218" i="1" s="1"/>
  <c r="G219" i="1"/>
  <c r="H219" i="1" s="1"/>
  <c r="I219" i="1" s="1"/>
  <c r="G220" i="1"/>
  <c r="H220" i="1" s="1"/>
  <c r="I220" i="1" s="1"/>
  <c r="G221" i="1"/>
  <c r="H221" i="1" s="1"/>
  <c r="I221" i="1" s="1"/>
  <c r="G222" i="1"/>
  <c r="H222" i="1" s="1"/>
  <c r="I222" i="1" s="1"/>
  <c r="G223" i="1"/>
  <c r="H223" i="1" s="1"/>
  <c r="I223" i="1" s="1"/>
  <c r="G224" i="1"/>
  <c r="H224" i="1" s="1"/>
  <c r="I224" i="1" s="1"/>
  <c r="G225" i="1"/>
  <c r="H225" i="1" s="1"/>
  <c r="I225" i="1" s="1"/>
  <c r="G226" i="1"/>
  <c r="H226" i="1" s="1"/>
  <c r="I226" i="1" s="1"/>
  <c r="G227" i="1"/>
  <c r="H227" i="1" s="1"/>
  <c r="I227" i="1" s="1"/>
  <c r="G228" i="1"/>
  <c r="H228" i="1" s="1"/>
  <c r="I228" i="1" s="1"/>
  <c r="G229" i="1"/>
  <c r="H229" i="1" s="1"/>
  <c r="I229" i="1" s="1"/>
  <c r="G230" i="1"/>
  <c r="H230" i="1" s="1"/>
  <c r="I230" i="1" s="1"/>
  <c r="G231" i="1"/>
  <c r="H231" i="1" s="1"/>
  <c r="I231" i="1" s="1"/>
  <c r="G232" i="1"/>
  <c r="H232" i="1" s="1"/>
  <c r="I232" i="1" s="1"/>
  <c r="G233" i="1"/>
  <c r="H233" i="1" s="1"/>
  <c r="I233" i="1" s="1"/>
  <c r="G234" i="1"/>
  <c r="H234" i="1" s="1"/>
  <c r="I234" i="1" s="1"/>
  <c r="G235" i="1"/>
  <c r="H235" i="1" s="1"/>
  <c r="I235" i="1" s="1"/>
  <c r="G236" i="1"/>
  <c r="H236" i="1" s="1"/>
  <c r="I236" i="1" s="1"/>
  <c r="G237" i="1"/>
  <c r="H237" i="1" s="1"/>
  <c r="I237" i="1" s="1"/>
  <c r="G238" i="1"/>
  <c r="H238" i="1" s="1"/>
  <c r="I238" i="1" s="1"/>
  <c r="G239" i="1"/>
  <c r="H239" i="1" s="1"/>
  <c r="I239" i="1" s="1"/>
  <c r="G240" i="1"/>
  <c r="H240" i="1" s="1"/>
  <c r="I240" i="1" s="1"/>
  <c r="G241" i="1"/>
  <c r="H241" i="1" s="1"/>
  <c r="I241" i="1" s="1"/>
  <c r="G242" i="1"/>
  <c r="H242" i="1" s="1"/>
  <c r="I242" i="1" s="1"/>
  <c r="G243" i="1"/>
  <c r="H243" i="1" s="1"/>
  <c r="I243" i="1" s="1"/>
  <c r="G244" i="1"/>
  <c r="H244" i="1" s="1"/>
  <c r="I244" i="1" s="1"/>
  <c r="G245" i="1"/>
  <c r="H245" i="1" s="1"/>
  <c r="I245" i="1" s="1"/>
  <c r="G246" i="1"/>
  <c r="H246" i="1" s="1"/>
  <c r="I246" i="1" s="1"/>
  <c r="G247" i="1"/>
  <c r="H247" i="1" s="1"/>
  <c r="I247" i="1" s="1"/>
  <c r="G248" i="1"/>
  <c r="H248" i="1" s="1"/>
  <c r="I248" i="1" s="1"/>
  <c r="G249" i="1"/>
  <c r="H249" i="1" s="1"/>
  <c r="I249" i="1" s="1"/>
  <c r="G250" i="1"/>
  <c r="H250" i="1" s="1"/>
  <c r="I250" i="1" s="1"/>
  <c r="G251" i="1"/>
  <c r="H251" i="1" s="1"/>
  <c r="I251" i="1" s="1"/>
  <c r="G252" i="1"/>
  <c r="H252" i="1" s="1"/>
  <c r="I252" i="1" s="1"/>
  <c r="G253" i="1"/>
  <c r="H253" i="1" s="1"/>
  <c r="I253" i="1" s="1"/>
  <c r="G254" i="1"/>
  <c r="H254" i="1" s="1"/>
  <c r="I254" i="1" s="1"/>
  <c r="G255" i="1"/>
  <c r="H255" i="1" s="1"/>
  <c r="I255" i="1" s="1"/>
  <c r="G256" i="1"/>
  <c r="H256" i="1" s="1"/>
  <c r="I256" i="1" s="1"/>
  <c r="G257" i="1"/>
  <c r="H257" i="1" s="1"/>
  <c r="I257" i="1" s="1"/>
  <c r="G258" i="1"/>
  <c r="H258" i="1" s="1"/>
  <c r="I258" i="1" s="1"/>
  <c r="G259" i="1"/>
  <c r="H259" i="1" s="1"/>
  <c r="I259" i="1" s="1"/>
  <c r="G260" i="1"/>
  <c r="H260" i="1" s="1"/>
  <c r="I260" i="1" s="1"/>
  <c r="G261" i="1"/>
  <c r="H261" i="1" s="1"/>
  <c r="I261" i="1" s="1"/>
  <c r="G262" i="1"/>
  <c r="H262" i="1" s="1"/>
  <c r="I262" i="1" s="1"/>
  <c r="G263" i="1"/>
  <c r="H263" i="1" s="1"/>
  <c r="I263" i="1" s="1"/>
  <c r="G264" i="1"/>
  <c r="H264" i="1" s="1"/>
  <c r="I264" i="1" s="1"/>
  <c r="G265" i="1"/>
  <c r="H265" i="1" s="1"/>
  <c r="I265" i="1" s="1"/>
  <c r="G266" i="1"/>
  <c r="H266" i="1" s="1"/>
  <c r="I266" i="1" s="1"/>
  <c r="G267" i="1"/>
  <c r="H267" i="1" s="1"/>
  <c r="I267" i="1" s="1"/>
  <c r="G268" i="1"/>
  <c r="H268" i="1" s="1"/>
  <c r="I268" i="1" s="1"/>
  <c r="G269" i="1"/>
  <c r="H269" i="1" s="1"/>
  <c r="I269" i="1" s="1"/>
  <c r="G270" i="1"/>
  <c r="H270" i="1" s="1"/>
  <c r="I270" i="1" s="1"/>
  <c r="G271" i="1"/>
  <c r="H271" i="1" s="1"/>
  <c r="I271" i="1" s="1"/>
  <c r="G272" i="1"/>
  <c r="H272" i="1" s="1"/>
  <c r="I272" i="1" s="1"/>
  <c r="G273" i="1"/>
  <c r="H273" i="1" s="1"/>
  <c r="I273" i="1" s="1"/>
  <c r="G274" i="1"/>
  <c r="H274" i="1" s="1"/>
  <c r="I274" i="1" s="1"/>
  <c r="G275" i="1"/>
  <c r="H275" i="1" s="1"/>
  <c r="I275" i="1" s="1"/>
  <c r="G276" i="1"/>
  <c r="H276" i="1" s="1"/>
  <c r="I276" i="1" s="1"/>
  <c r="G277" i="1"/>
  <c r="H277" i="1" s="1"/>
  <c r="I277" i="1" s="1"/>
  <c r="G278" i="1"/>
  <c r="H278" i="1" s="1"/>
  <c r="I278" i="1" s="1"/>
  <c r="G279" i="1"/>
  <c r="H279" i="1" s="1"/>
  <c r="I279" i="1" s="1"/>
  <c r="G280" i="1"/>
  <c r="H280" i="1" s="1"/>
  <c r="I280" i="1" s="1"/>
  <c r="G281" i="1"/>
  <c r="H281" i="1" s="1"/>
  <c r="I281" i="1" s="1"/>
  <c r="G282" i="1"/>
  <c r="H282" i="1" s="1"/>
  <c r="I282" i="1" s="1"/>
  <c r="G283" i="1"/>
  <c r="H283" i="1" s="1"/>
  <c r="I283" i="1" s="1"/>
  <c r="G284" i="1"/>
  <c r="H284" i="1" s="1"/>
  <c r="I284" i="1" s="1"/>
  <c r="G285" i="1"/>
  <c r="H285" i="1" s="1"/>
  <c r="I285" i="1" s="1"/>
  <c r="G286" i="1"/>
  <c r="H286" i="1" s="1"/>
  <c r="I286" i="1" s="1"/>
  <c r="G287" i="1"/>
  <c r="H287" i="1" s="1"/>
  <c r="I287" i="1" s="1"/>
  <c r="G2" i="1"/>
  <c r="H2" i="1" s="1"/>
  <c r="I2" i="1" s="1"/>
  <c r="L5" i="1" l="1"/>
  <c r="L6" i="1"/>
  <c r="L8" i="1"/>
  <c r="L4" i="1"/>
  <c r="L7" i="1"/>
</calcChain>
</file>

<file path=xl/connections.xml><?xml version="1.0" encoding="utf-8"?>
<connections xmlns="http://schemas.openxmlformats.org/spreadsheetml/2006/main">
  <connection id="1" name="candidates" type="6" refreshedVersion="5" background="1" saveData="1">
    <textPr codePage="437" sourceFile="C:\Users\pc\Pictures\HORIZON TECH PROJECT RESOURCE\candidates.csv" comma="1">
      <textFields count="5">
        <textField/>
        <textField/>
        <textField/>
        <textField/>
        <textField/>
      </textFields>
    </textPr>
  </connection>
  <connection id="2" name="departments" type="6" refreshedVersion="5" background="1" saveData="1">
    <textPr codePage="437" sourceFile="C:\Users\pc\Pictures\HORIZON TECH PROJECT RESOURCE\departments.csv" comma="1">
      <textFields count="2">
        <textField/>
        <textField/>
      </textFields>
    </textPr>
  </connection>
  <connection id="3" name="job_openings" type="6" refreshedVersion="5" background="1" saveData="1">
    <textPr codePage="437" sourceFile="C:\Users\pc\Pictures\HORIZON TECH PROJECT RESOURCE\job_openings.csv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<sst xmlns="http://schemas.openxmlformats.org/spreadsheetml/2006/main" count="4856" uniqueCount="119">
  <si>
    <t>hire_id</t>
  </si>
  <si>
    <t>candidate_id</t>
  </si>
  <si>
    <t>hire_date</t>
  </si>
  <si>
    <t>time_to_hire_days</t>
  </si>
  <si>
    <t>salary_offered</t>
  </si>
  <si>
    <t>accepted_offer</t>
  </si>
  <si>
    <t>Yes</t>
  </si>
  <si>
    <t>No</t>
  </si>
  <si>
    <t>opening_id</t>
  </si>
  <si>
    <t>application_date</t>
  </si>
  <si>
    <t>stage</t>
  </si>
  <si>
    <t>source</t>
  </si>
  <si>
    <t>Applied</t>
  </si>
  <si>
    <t>Referral</t>
  </si>
  <si>
    <t>Walk-in</t>
  </si>
  <si>
    <t>Rejected</t>
  </si>
  <si>
    <t>LinkedIn</t>
  </si>
  <si>
    <t>Offered</t>
  </si>
  <si>
    <t>Job Board</t>
  </si>
  <si>
    <t>Hired</t>
  </si>
  <si>
    <t>Interviewed</t>
  </si>
  <si>
    <t>15/05/2025</t>
  </si>
  <si>
    <t>25/08/2025</t>
  </si>
  <si>
    <t>22/04/2025</t>
  </si>
  <si>
    <t>15/09/2025</t>
  </si>
  <si>
    <t>18/03/2025</t>
  </si>
  <si>
    <t>28/02/2025</t>
  </si>
  <si>
    <t>20/03/2025</t>
  </si>
  <si>
    <t>27/09/2025</t>
  </si>
  <si>
    <t>20/01/2025</t>
  </si>
  <si>
    <t>13/06/2025</t>
  </si>
  <si>
    <t>17/12/2025</t>
  </si>
  <si>
    <t>21/02/2025</t>
  </si>
  <si>
    <t>25/06/2025</t>
  </si>
  <si>
    <t>22/09/2025</t>
  </si>
  <si>
    <t>20/08/2025</t>
  </si>
  <si>
    <t>19/06/2025</t>
  </si>
  <si>
    <t>21/05/2025</t>
  </si>
  <si>
    <t>19/07/2025</t>
  </si>
  <si>
    <t>28/01/2025</t>
  </si>
  <si>
    <t>22/10/2025</t>
  </si>
  <si>
    <t>21/08/2025</t>
  </si>
  <si>
    <t>26/06/2025</t>
  </si>
  <si>
    <t>26/01/2025</t>
  </si>
  <si>
    <t>17/05/2025</t>
  </si>
  <si>
    <t>24/06/2025</t>
  </si>
  <si>
    <t>21/09/2025</t>
  </si>
  <si>
    <t>18/05/2025</t>
  </si>
  <si>
    <t>16/03/2025</t>
  </si>
  <si>
    <t>27/04/2025</t>
  </si>
  <si>
    <t>17/06/2025</t>
  </si>
  <si>
    <t>23/03/2025</t>
  </si>
  <si>
    <t>14/06/2025</t>
  </si>
  <si>
    <t>16/09/2025</t>
  </si>
  <si>
    <t>department_id</t>
  </si>
  <si>
    <t>department_name</t>
  </si>
  <si>
    <t>Engineering</t>
  </si>
  <si>
    <t>Sales</t>
  </si>
  <si>
    <t>Customer Support</t>
  </si>
  <si>
    <t>Operations</t>
  </si>
  <si>
    <t>Marketing</t>
  </si>
  <si>
    <t>location</t>
  </si>
  <si>
    <t>target_hires</t>
  </si>
  <si>
    <t>month_posted</t>
  </si>
  <si>
    <t>role_title</t>
  </si>
  <si>
    <t>LAGOS</t>
  </si>
  <si>
    <t>2025-01</t>
  </si>
  <si>
    <t>QA Engineer</t>
  </si>
  <si>
    <t>Lagos</t>
  </si>
  <si>
    <t>Business Development Rep</t>
  </si>
  <si>
    <t>Support Agent</t>
  </si>
  <si>
    <t>lagos</t>
  </si>
  <si>
    <t>Logistics Coordinator</t>
  </si>
  <si>
    <t>Port Harcourt</t>
  </si>
  <si>
    <t>Marketing Executive</t>
  </si>
  <si>
    <t>Port-Harcourt</t>
  </si>
  <si>
    <t>2025-02</t>
  </si>
  <si>
    <t>Sales Executive</t>
  </si>
  <si>
    <t>Customer Success Rep</t>
  </si>
  <si>
    <t>IBADAN</t>
  </si>
  <si>
    <t>Operations Analyst</t>
  </si>
  <si>
    <t>Ibadan</t>
  </si>
  <si>
    <t>Social Media Manager</t>
  </si>
  <si>
    <t>2025-03</t>
  </si>
  <si>
    <t>Software Engineer</t>
  </si>
  <si>
    <t>abuja</t>
  </si>
  <si>
    <t xml:space="preserve">Lagos </t>
  </si>
  <si>
    <t>Abuja</t>
  </si>
  <si>
    <t>2025-04</t>
  </si>
  <si>
    <t>Backend Developer</t>
  </si>
  <si>
    <t>ABUJA</t>
  </si>
  <si>
    <t>Account Manager</t>
  </si>
  <si>
    <t>ibadan</t>
  </si>
  <si>
    <t>2025-05</t>
  </si>
  <si>
    <t>DevOps Engineer</t>
  </si>
  <si>
    <t>port harcourt</t>
  </si>
  <si>
    <t>2025-06</t>
  </si>
  <si>
    <t>2025-07</t>
  </si>
  <si>
    <t>2025-08</t>
  </si>
  <si>
    <t>2025-09</t>
  </si>
  <si>
    <t>2025-10</t>
  </si>
  <si>
    <t>2025-11</t>
  </si>
  <si>
    <t>2025-12</t>
  </si>
  <si>
    <t>department name</t>
  </si>
  <si>
    <t>avg_salary</t>
  </si>
  <si>
    <t>location_clean</t>
  </si>
  <si>
    <t>Row Labels</t>
  </si>
  <si>
    <t>Grand Total</t>
  </si>
  <si>
    <t>Count of hire_id</t>
  </si>
  <si>
    <t>Sum of target_hires</t>
  </si>
  <si>
    <t>total_target</t>
  </si>
  <si>
    <t>total_hired</t>
  </si>
  <si>
    <t>fill_rate_pct</t>
  </si>
  <si>
    <t>i</t>
  </si>
  <si>
    <t>Average of time_to_hire_days</t>
  </si>
  <si>
    <t>total _offers</t>
  </si>
  <si>
    <t>accepted</t>
  </si>
  <si>
    <t>acceptance_rate_pct</t>
  </si>
  <si>
    <t>Linkedin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</si>
</sst>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70" formatCode="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i/>
      <sz val="11"/>
      <color theme="1" tint="4.9989318521683403E-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b/>
      <i/>
      <sz val="11"/>
      <color theme="1" tint="0.1499984740745262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164" fontId="19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164" fontId="20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0" fillId="0" borderId="0" xfId="0" pivotButton="1" applyFont="1"/>
    <xf numFmtId="0" fontId="20" fillId="0" borderId="0" xfId="0" applyFont="1"/>
    <xf numFmtId="0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20" fillId="33" borderId="11" xfId="0" applyFont="1" applyFill="1" applyBorder="1" applyAlignment="1">
      <alignment horizontal="center"/>
    </xf>
    <xf numFmtId="0" fontId="20" fillId="33" borderId="12" xfId="0" applyFont="1" applyFill="1" applyBorder="1" applyAlignment="1">
      <alignment horizontal="center"/>
    </xf>
    <xf numFmtId="170" fontId="0" fillId="0" borderId="0" xfId="0" applyNumberFormat="1"/>
    <xf numFmtId="170" fontId="18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numFmt numFmtId="170" formatCode="0.0"/>
    </dxf>
    <dxf>
      <numFmt numFmtId="170" formatCode="0.0"/>
    </dxf>
    <dxf>
      <numFmt numFmtId="170" formatCode="0.0"/>
    </dxf>
    <dxf>
      <numFmt numFmtId="170" formatCode="0.0"/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numFmt numFmtId="170" formatCode="0.0"/>
    </dxf>
    <dxf>
      <numFmt numFmtId="170" formatCode="0.0"/>
    </dxf>
    <dxf>
      <numFmt numFmtId="170" formatCode="0.0"/>
    </dxf>
    <dxf>
      <numFmt numFmtId="170" formatCode="0.0"/>
    </dxf>
    <dxf>
      <font>
        <b/>
      </font>
    </dxf>
    <dxf>
      <font>
        <b/>
      </font>
    </dxf>
    <dxf>
      <font>
        <i/>
      </font>
    </dxf>
    <dxf>
      <font>
        <i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[horizon_tech_analysis.xlsx]pivot_time_to_hire!PivotTable8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pivot_time_to_hire!$B$5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pivot_time_to_hire!$A$6:$A$10</c:f>
              <c:strCache>
                <c:ptCount val="5"/>
                <c:pt idx="0">
                  <c:v>Customer Support</c:v>
                </c:pt>
                <c:pt idx="1">
                  <c:v>Engineering</c:v>
                </c:pt>
                <c:pt idx="2">
                  <c:v>Marketing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pivot_time_to_hire!$B$6:$B$10</c:f>
              <c:numCache>
                <c:formatCode>General</c:formatCode>
                <c:ptCount val="5"/>
                <c:pt idx="0">
                  <c:v>14.633928571428571</c:v>
                </c:pt>
                <c:pt idx="1">
                  <c:v>40.200000000000003</c:v>
                </c:pt>
                <c:pt idx="2">
                  <c:v>27.315789473684209</c:v>
                </c:pt>
                <c:pt idx="3">
                  <c:v>27.918918918918919</c:v>
                </c:pt>
                <c:pt idx="4">
                  <c:v>24.643835616438356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9467184"/>
        <c:axId val="289473064"/>
      </c:barChart>
      <c:catAx>
        <c:axId val="28946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473064"/>
        <c:crosses val="autoZero"/>
        <c:auto val="1"/>
        <c:lblAlgn val="ctr"/>
        <c:lblOffset val="100"/>
        <c:noMultiLvlLbl val="0"/>
      </c:catAx>
      <c:valAx>
        <c:axId val="289473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46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Source</a:t>
            </a:r>
            <a:r>
              <a:rPr lang="en-US" baseline="0"/>
              <a:t> by Acceptance rate %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pivot_acceptance_by_source!$D$8</c:f>
              <c:strCache>
                <c:ptCount val="1"/>
                <c:pt idx="0">
                  <c:v>acceptance_rate_pct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pivot_acceptance_by_source!$A$9:$A$12</c:f>
              <c:strCache>
                <c:ptCount val="4"/>
                <c:pt idx="0">
                  <c:v>Referral</c:v>
                </c:pt>
                <c:pt idx="1">
                  <c:v>Linkedin</c:v>
                </c:pt>
                <c:pt idx="2">
                  <c:v>Job Board</c:v>
                </c:pt>
                <c:pt idx="3">
                  <c:v>Walk-in</c:v>
                </c:pt>
              </c:strCache>
            </c:strRef>
          </c:cat>
          <c:val>
            <c:numRef>
              <c:f>pivot_acceptance_by_source!$D$9:$D$12</c:f>
              <c:numCache>
                <c:formatCode>General</c:formatCode>
                <c:ptCount val="4"/>
                <c:pt idx="0">
                  <c:v>95.3</c:v>
                </c:pt>
                <c:pt idx="1">
                  <c:v>82.1</c:v>
                </c:pt>
                <c:pt idx="2">
                  <c:v>66.3</c:v>
                </c:pt>
                <c:pt idx="3">
                  <c:v>63.6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1807688"/>
        <c:axId val="371811608"/>
      </c:barChart>
      <c:catAx>
        <c:axId val="371807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811608"/>
        <c:crosses val="autoZero"/>
        <c:auto val="1"/>
        <c:lblAlgn val="ctr"/>
        <c:lblOffset val="100"/>
        <c:noMultiLvlLbl val="0"/>
      </c:catAx>
      <c:valAx>
        <c:axId val="371811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807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Fill</a:t>
            </a:r>
            <a:r>
              <a:rPr lang="en-US" baseline="0"/>
              <a:t> rate by Department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pivot_fill_rate_summary!$G$1</c:f>
              <c:strCache>
                <c:ptCount val="1"/>
                <c:pt idx="0">
                  <c:v>fill_rate_pct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pivot_fill_rate_summary!$D$2:$D$6</c:f>
              <c:strCache>
                <c:ptCount val="5"/>
                <c:pt idx="0">
                  <c:v>Engineering</c:v>
                </c:pt>
                <c:pt idx="1">
                  <c:v>Sales</c:v>
                </c:pt>
                <c:pt idx="2">
                  <c:v>Customer Support</c:v>
                </c:pt>
                <c:pt idx="3">
                  <c:v>Operations</c:v>
                </c:pt>
                <c:pt idx="4">
                  <c:v>Marketing</c:v>
                </c:pt>
              </c:strCache>
            </c:strRef>
          </c:cat>
          <c:val>
            <c:numRef>
              <c:f>pivot_fill_rate_summary!$G$2:$G$6</c:f>
              <c:numCache>
                <c:formatCode>0.0</c:formatCode>
                <c:ptCount val="5"/>
                <c:pt idx="0">
                  <c:v>66.17647058823529</c:v>
                </c:pt>
                <c:pt idx="1">
                  <c:v>80.219780219780219</c:v>
                </c:pt>
                <c:pt idx="2">
                  <c:v>91.056910569105682</c:v>
                </c:pt>
                <c:pt idx="3">
                  <c:v>80.434782608695656</c:v>
                </c:pt>
                <c:pt idx="4">
                  <c:v>57.575757575757578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39296"/>
        <c:axId val="376641256"/>
      </c:barChart>
      <c:catAx>
        <c:axId val="37663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41256"/>
        <c:crosses val="autoZero"/>
        <c:auto val="1"/>
        <c:lblAlgn val="ctr"/>
        <c:lblOffset val="100"/>
        <c:noMultiLvlLbl val="0"/>
      </c:catAx>
      <c:valAx>
        <c:axId val="37664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3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2</xdr:row>
      <xdr:rowOff>119062</xdr:rowOff>
    </xdr:from>
    <xdr:to>
      <xdr:col>8</xdr:col>
      <xdr:colOff>600075</xdr:colOff>
      <xdr:row>15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2</xdr:row>
      <xdr:rowOff>123824</xdr:rowOff>
    </xdr:from>
    <xdr:to>
      <xdr:col>11</xdr:col>
      <xdr:colOff>381000</xdr:colOff>
      <xdr:row>16</xdr:row>
      <xdr:rowOff>4761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8</xdr:row>
      <xdr:rowOff>23812</xdr:rowOff>
    </xdr:from>
    <xdr:to>
      <xdr:col>5</xdr:col>
      <xdr:colOff>142875</xdr:colOff>
      <xdr:row>21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6262.790385069442" createdVersion="5" refreshedVersion="5" minRefreshableVersion="3" recordCount="286">
  <cacheSource type="worksheet">
    <worksheetSource ref="A1:I287" sheet="hires"/>
  </cacheSource>
  <cacheFields count="9">
    <cacheField name="hire_id" numFmtId="0">
      <sharedItems containsSemiMixedTypes="0" containsString="0" containsNumber="1" containsInteger="1" minValue="1" maxValue="286"/>
    </cacheField>
    <cacheField name="candidate_id" numFmtId="0">
      <sharedItems containsSemiMixedTypes="0" containsString="0" containsNumber="1" containsInteger="1" minValue="1" maxValue="2131"/>
    </cacheField>
    <cacheField name="hire_date" numFmtId="164">
      <sharedItems containsSemiMixedTypes="0" containsNonDate="0" containsDate="1" containsString="0" minDate="2025-01-13T00:00:00" maxDate="2026-02-08T00:00:00"/>
    </cacheField>
    <cacheField name="time_to_hire_days" numFmtId="0">
      <sharedItems containsSemiMixedTypes="0" containsString="0" containsNumber="1" containsInteger="1" minValue="5" maxValue="58"/>
    </cacheField>
    <cacheField name="salary_offered" numFmtId="0">
      <sharedItems containsSemiMixedTypes="0" containsString="0" containsNumber="1" minValue="273000" maxValue="1174000"/>
    </cacheField>
    <cacheField name="accepted_offer" numFmtId="0">
      <sharedItems/>
    </cacheField>
    <cacheField name="opening_id" numFmtId="0">
      <sharedItems containsSemiMixedTypes="0" containsString="0" containsNumber="1" containsInteger="1" minValue="1" maxValue="59"/>
    </cacheField>
    <cacheField name="department_id" numFmtId="0">
      <sharedItems containsSemiMixedTypes="0" containsString="0" containsNumber="1" containsInteger="1" minValue="1" maxValue="5"/>
    </cacheField>
    <cacheField name="department_name" numFmtId="0">
      <sharedItems count="5">
        <s v="Sales"/>
        <s v="Customer Support"/>
        <s v="Marketing"/>
        <s v="Engineering"/>
        <s v="Operation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pc" refreshedDate="46263.03474722222" createdVersion="5" refreshedVersion="5" minRefreshableVersion="3" recordCount="60">
  <cacheSource type="worksheet">
    <worksheetSource ref="A1:G61" sheet="job_openings"/>
  </cacheSource>
  <cacheFields count="7">
    <cacheField name="opening_id" numFmtId="0">
      <sharedItems containsSemiMixedTypes="0" containsString="0" containsNumber="1" containsInteger="1" minValue="1" maxValue="60"/>
    </cacheField>
    <cacheField name="department_id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location" numFmtId="0">
      <sharedItems/>
    </cacheField>
    <cacheField name="target_hires" numFmtId="0">
      <sharedItems containsSemiMixedTypes="0" containsString="0" containsNumber="1" containsInteger="1" minValue="1" maxValue="13"/>
    </cacheField>
    <cacheField name="month_posted" numFmtId="0">
      <sharedItems/>
    </cacheField>
    <cacheField name="role_title" numFmtId="0">
      <sharedItems/>
    </cacheField>
    <cacheField name="location_cle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6">
  <r>
    <n v="173"/>
    <n v="1237"/>
    <d v="2025-08-05T00:00:00"/>
    <n v="26"/>
    <n v="603000"/>
    <s v="Yes"/>
    <n v="32"/>
    <n v="2"/>
    <x v="0"/>
  </r>
  <r>
    <n v="136"/>
    <n v="950"/>
    <d v="2025-05-25T00:00:00"/>
    <n v="18"/>
    <n v="384000"/>
    <s v="Yes"/>
    <n v="23"/>
    <n v="3"/>
    <x v="1"/>
  </r>
  <r>
    <n v="261"/>
    <n v="1933"/>
    <d v="2025-11-14T00:00:00"/>
    <n v="23"/>
    <n v="468000"/>
    <s v="Yes"/>
    <n v="50"/>
    <n v="5"/>
    <x v="2"/>
  </r>
  <r>
    <n v="142"/>
    <n v="995"/>
    <d v="2025-06-10T00:00:00"/>
    <n v="31"/>
    <n v="486277.78"/>
    <s v="Yes"/>
    <n v="25"/>
    <n v="5"/>
    <x v="2"/>
  </r>
  <r>
    <n v="222"/>
    <n v="1611"/>
    <d v="2025-10-18T00:00:00"/>
    <n v="32"/>
    <n v="541000"/>
    <s v="Yes"/>
    <n v="42"/>
    <n v="2"/>
    <x v="0"/>
  </r>
  <r>
    <n v="55"/>
    <n v="415"/>
    <d v="2025-03-22T00:00:00"/>
    <n v="26"/>
    <n v="393000"/>
    <s v="Yes"/>
    <n v="10"/>
    <n v="5"/>
    <x v="2"/>
  </r>
  <r>
    <n v="147"/>
    <n v="1006"/>
    <d v="2025-07-26T00:00:00"/>
    <n v="47"/>
    <n v="1118000"/>
    <s v="No"/>
    <n v="26"/>
    <n v="1"/>
    <x v="3"/>
  </r>
  <r>
    <n v="15"/>
    <n v="90"/>
    <d v="2025-01-27T00:00:00"/>
    <n v="12"/>
    <n v="346000"/>
    <s v="Yes"/>
    <n v="3"/>
    <n v="3"/>
    <x v="1"/>
  </r>
  <r>
    <n v="112"/>
    <n v="806"/>
    <d v="2025-05-06T00:00:00"/>
    <n v="32"/>
    <n v="503000"/>
    <s v="Yes"/>
    <n v="20"/>
    <n v="5"/>
    <x v="2"/>
  </r>
  <r>
    <n v="211"/>
    <n v="1541"/>
    <d v="2025-09-18T00:00:00"/>
    <n v="34"/>
    <n v="453000"/>
    <s v="Yes"/>
    <n v="39"/>
    <n v="4"/>
    <x v="4"/>
  </r>
  <r>
    <n v="107"/>
    <n v="740"/>
    <d v="2025-05-04T00:00:00"/>
    <n v="6"/>
    <n v="388000"/>
    <s v="Yes"/>
    <n v="18"/>
    <n v="3"/>
    <x v="1"/>
  </r>
  <r>
    <n v="138"/>
    <n v="970"/>
    <d v="2025-06-13T00:00:00"/>
    <n v="31"/>
    <n v="381000"/>
    <s v="Yes"/>
    <n v="24"/>
    <n v="4"/>
    <x v="4"/>
  </r>
  <r>
    <n v="216"/>
    <n v="1581"/>
    <d v="2025-10-23T00:00:00"/>
    <n v="43"/>
    <n v="1118000"/>
    <s v="Yes"/>
    <n v="41"/>
    <n v="1"/>
    <x v="3"/>
  </r>
  <r>
    <n v="258"/>
    <n v="1866"/>
    <d v="2025-10-22T00:00:00"/>
    <n v="14"/>
    <n v="353000"/>
    <s v="Yes"/>
    <n v="48"/>
    <n v="3"/>
    <x v="1"/>
  </r>
  <r>
    <n v="229"/>
    <n v="1647"/>
    <d v="2025-10-17T00:00:00"/>
    <n v="19"/>
    <n v="320000"/>
    <s v="No"/>
    <n v="43"/>
    <n v="3"/>
    <x v="1"/>
  </r>
  <r>
    <n v="214"/>
    <n v="1577"/>
    <d v="2025-10-11T00:00:00"/>
    <n v="35"/>
    <n v="906000"/>
    <s v="Yes"/>
    <n v="41"/>
    <n v="1"/>
    <x v="3"/>
  </r>
  <r>
    <n v="164"/>
    <n v="1177"/>
    <d v="2025-07-19T00:00:00"/>
    <n v="44"/>
    <n v="538000"/>
    <s v="Yes"/>
    <n v="30"/>
    <n v="5"/>
    <x v="2"/>
  </r>
  <r>
    <n v="46"/>
    <n v="340"/>
    <d v="2025-02-23T00:00:00"/>
    <n v="9"/>
    <n v="312000"/>
    <s v="Yes"/>
    <n v="8"/>
    <n v="3"/>
    <x v="1"/>
  </r>
  <r>
    <n v="224"/>
    <n v="1618"/>
    <d v="2025-10-14T00:00:00"/>
    <n v="27"/>
    <n v="684000"/>
    <s v="Yes"/>
    <n v="42"/>
    <n v="2"/>
    <x v="0"/>
  </r>
  <r>
    <n v="208"/>
    <n v="1517"/>
    <d v="2025-09-22T00:00:00"/>
    <n v="32"/>
    <n v="382000"/>
    <s v="Yes"/>
    <n v="39"/>
    <n v="4"/>
    <x v="4"/>
  </r>
  <r>
    <n v="74"/>
    <n v="519"/>
    <d v="2025-03-23T00:00:00"/>
    <n v="22"/>
    <n v="376000"/>
    <s v="Yes"/>
    <n v="13"/>
    <n v="3"/>
    <x v="1"/>
  </r>
  <r>
    <n v="184"/>
    <n v="1302"/>
    <d v="2025-07-16T00:00:00"/>
    <n v="15"/>
    <n v="397000"/>
    <s v="Yes"/>
    <n v="33"/>
    <n v="3"/>
    <x v="1"/>
  </r>
  <r>
    <n v="246"/>
    <n v="1823"/>
    <d v="2025-10-23T00:00:00"/>
    <n v="17"/>
    <n v="515000"/>
    <s v="Yes"/>
    <n v="47"/>
    <n v="2"/>
    <x v="0"/>
  </r>
  <r>
    <n v="239"/>
    <n v="1734"/>
    <d v="2025-10-06T00:00:00"/>
    <n v="26"/>
    <n v="421000"/>
    <s v="No"/>
    <n v="44"/>
    <n v="4"/>
    <x v="4"/>
  </r>
  <r>
    <n v="179"/>
    <n v="1281"/>
    <d v="2025-07-27T00:00:00"/>
    <n v="12"/>
    <n v="335000"/>
    <s v="Yes"/>
    <n v="33"/>
    <n v="3"/>
    <x v="1"/>
  </r>
  <r>
    <n v="218"/>
    <n v="1591"/>
    <d v="2025-10-22T00:00:00"/>
    <n v="36"/>
    <n v="594000"/>
    <s v="Yes"/>
    <n v="42"/>
    <n v="2"/>
    <x v="0"/>
  </r>
  <r>
    <n v="232"/>
    <n v="1656"/>
    <d v="2025-10-09T00:00:00"/>
    <n v="15"/>
    <n v="275000"/>
    <s v="Yes"/>
    <n v="43"/>
    <n v="3"/>
    <x v="1"/>
  </r>
  <r>
    <n v="205"/>
    <n v="1473"/>
    <d v="2025-08-28T00:00:00"/>
    <n v="9"/>
    <n v="368000"/>
    <s v="No"/>
    <n v="38"/>
    <n v="3"/>
    <x v="1"/>
  </r>
  <r>
    <n v="85"/>
    <n v="597"/>
    <d v="2025-05-01T00:00:00"/>
    <n v="43"/>
    <n v="342000"/>
    <s v="Yes"/>
    <n v="14"/>
    <n v="4"/>
    <x v="4"/>
  </r>
  <r>
    <n v="223"/>
    <n v="1615"/>
    <d v="2025-10-10T00:00:00"/>
    <n v="19"/>
    <n v="644000"/>
    <s v="Yes"/>
    <n v="42"/>
    <n v="2"/>
    <x v="0"/>
  </r>
  <r>
    <n v="161"/>
    <n v="1157"/>
    <d v="2025-07-22T00:00:00"/>
    <n v="37"/>
    <n v="406000"/>
    <s v="Yes"/>
    <n v="29"/>
    <n v="4"/>
    <x v="4"/>
  </r>
  <r>
    <n v="89"/>
    <n v="653"/>
    <d v="2025-05-20T00:00:00"/>
    <n v="34"/>
    <n v="540000"/>
    <s v="Yes"/>
    <n v="17"/>
    <n v="2"/>
    <x v="0"/>
  </r>
  <r>
    <n v="282"/>
    <n v="2111"/>
    <d v="2025-12-22T00:00:00"/>
    <n v="16"/>
    <n v="393000"/>
    <s v="Yes"/>
    <n v="58"/>
    <n v="3"/>
    <x v="1"/>
  </r>
  <r>
    <n v="66"/>
    <n v="488"/>
    <d v="2025-04-05T00:00:00"/>
    <n v="22"/>
    <n v="667000"/>
    <s v="No"/>
    <n v="12"/>
    <n v="2"/>
    <x v="0"/>
  </r>
  <r>
    <n v="34"/>
    <n v="277"/>
    <d v="2025-02-15T00:00:00"/>
    <n v="10"/>
    <n v="549000"/>
    <s v="No"/>
    <n v="7"/>
    <n v="2"/>
    <x v="0"/>
  </r>
  <r>
    <n v="244"/>
    <n v="1809"/>
    <d v="2025-11-06T00:00:00"/>
    <n v="24"/>
    <n v="554000"/>
    <s v="No"/>
    <n v="47"/>
    <n v="2"/>
    <x v="0"/>
  </r>
  <r>
    <n v="185"/>
    <n v="1304"/>
    <d v="2025-07-13T00:00:00"/>
    <n v="6"/>
    <n v="333000"/>
    <s v="Yes"/>
    <n v="33"/>
    <n v="3"/>
    <x v="1"/>
  </r>
  <r>
    <n v="188"/>
    <n v="1363"/>
    <d v="2025-08-07T00:00:00"/>
    <n v="33"/>
    <n v="432000"/>
    <s v="Yes"/>
    <n v="34"/>
    <n v="4"/>
    <x v="4"/>
  </r>
  <r>
    <n v="242"/>
    <n v="1789"/>
    <d v="2025-11-26T00:00:00"/>
    <n v="47"/>
    <n v="1158000"/>
    <s v="Yes"/>
    <n v="46"/>
    <n v="1"/>
    <x v="3"/>
  </r>
  <r>
    <n v="12"/>
    <n v="70"/>
    <d v="2025-02-09T00:00:00"/>
    <n v="28"/>
    <n v="476000"/>
    <s v="Yes"/>
    <n v="2"/>
    <n v="2"/>
    <x v="0"/>
  </r>
  <r>
    <n v="94"/>
    <n v="679"/>
    <d v="2025-05-08T00:00:00"/>
    <n v="28"/>
    <n v="652000"/>
    <s v="Yes"/>
    <n v="17"/>
    <n v="2"/>
    <x v="0"/>
  </r>
  <r>
    <n v="14"/>
    <n v="80"/>
    <d v="2025-01-29T00:00:00"/>
    <n v="15"/>
    <n v="607000"/>
    <s v="No"/>
    <n v="2"/>
    <n v="2"/>
    <x v="0"/>
  </r>
  <r>
    <n v="209"/>
    <n v="1525"/>
    <d v="2025-09-11T00:00:00"/>
    <n v="28"/>
    <n v="380000"/>
    <s v="Yes"/>
    <n v="39"/>
    <n v="4"/>
    <x v="4"/>
  </r>
  <r>
    <n v="267"/>
    <n v="2000"/>
    <d v="2025-12-11T00:00:00"/>
    <n v="24"/>
    <n v="370000"/>
    <s v="No"/>
    <n v="53"/>
    <n v="3"/>
    <x v="1"/>
  </r>
  <r>
    <n v="62"/>
    <n v="456"/>
    <d v="2025-05-04T00:00:00"/>
    <n v="40"/>
    <n v="833000"/>
    <s v="Yes"/>
    <n v="11"/>
    <n v="1"/>
    <x v="3"/>
  </r>
  <r>
    <n v="221"/>
    <n v="1610"/>
    <d v="2025-09-29T00:00:00"/>
    <n v="27"/>
    <n v="628000"/>
    <s v="Yes"/>
    <n v="42"/>
    <n v="2"/>
    <x v="0"/>
  </r>
  <r>
    <n v="235"/>
    <n v="1663"/>
    <d v="2025-09-19T00:00:00"/>
    <n v="8"/>
    <n v="295000"/>
    <s v="Yes"/>
    <n v="43"/>
    <n v="3"/>
    <x v="1"/>
  </r>
  <r>
    <n v="129"/>
    <n v="924"/>
    <d v="2025-06-01T00:00:00"/>
    <n v="10"/>
    <n v="344000"/>
    <s v="Yes"/>
    <n v="23"/>
    <n v="3"/>
    <x v="1"/>
  </r>
  <r>
    <n v="254"/>
    <n v="1845"/>
    <d v="2025-10-20T00:00:00"/>
    <n v="12"/>
    <n v="399000"/>
    <s v="Yes"/>
    <n v="48"/>
    <n v="3"/>
    <x v="1"/>
  </r>
  <r>
    <n v="237"/>
    <n v="1722"/>
    <d v="2025-10-14T00:00:00"/>
    <n v="21"/>
    <n v="440000"/>
    <s v="Yes"/>
    <n v="44"/>
    <n v="4"/>
    <x v="4"/>
  </r>
  <r>
    <n v="177"/>
    <n v="1272"/>
    <d v="2025-08-05T00:00:00"/>
    <n v="14"/>
    <n v="363000"/>
    <s v="Yes"/>
    <n v="33"/>
    <n v="3"/>
    <x v="1"/>
  </r>
  <r>
    <n v="17"/>
    <n v="101"/>
    <d v="2025-01-22T00:00:00"/>
    <n v="19"/>
    <n v="344000"/>
    <s v="Yes"/>
    <n v="3"/>
    <n v="3"/>
    <x v="1"/>
  </r>
  <r>
    <n v="175"/>
    <n v="1268"/>
    <d v="2025-07-26T00:00:00"/>
    <n v="17"/>
    <n v="355000"/>
    <s v="Yes"/>
    <n v="33"/>
    <n v="3"/>
    <x v="1"/>
  </r>
  <r>
    <n v="50"/>
    <n v="352"/>
    <d v="2025-02-16T00:00:00"/>
    <n v="12"/>
    <n v="398000"/>
    <s v="Yes"/>
    <n v="8"/>
    <n v="3"/>
    <x v="1"/>
  </r>
  <r>
    <n v="82"/>
    <n v="571"/>
    <d v="2025-03-22T00:00:00"/>
    <n v="15"/>
    <n v="347000"/>
    <s v="Yes"/>
    <n v="13"/>
    <n v="3"/>
    <x v="1"/>
  </r>
  <r>
    <n v="233"/>
    <n v="1657"/>
    <d v="2025-09-28T00:00:00"/>
    <n v="18"/>
    <n v="346000"/>
    <s v="Yes"/>
    <n v="43"/>
    <n v="3"/>
    <x v="1"/>
  </r>
  <r>
    <n v="207"/>
    <n v="1478"/>
    <d v="2025-09-02T00:00:00"/>
    <n v="19"/>
    <n v="375000"/>
    <s v="Yes"/>
    <n v="38"/>
    <n v="3"/>
    <x v="1"/>
  </r>
  <r>
    <n v="47"/>
    <n v="343"/>
    <d v="2025-03-11T00:00:00"/>
    <n v="30"/>
    <n v="326000"/>
    <s v="No"/>
    <n v="8"/>
    <n v="3"/>
    <x v="1"/>
  </r>
  <r>
    <n v="111"/>
    <n v="799"/>
    <d v="2025-04-29T00:00:00"/>
    <n v="18"/>
    <n v="439000"/>
    <s v="Yes"/>
    <n v="19"/>
    <n v="4"/>
    <x v="4"/>
  </r>
  <r>
    <n v="251"/>
    <n v="1841"/>
    <d v="2025-10-29T00:00:00"/>
    <n v="9"/>
    <n v="282000"/>
    <s v="Yes"/>
    <n v="48"/>
    <n v="3"/>
    <x v="1"/>
  </r>
  <r>
    <n v="225"/>
    <n v="1634"/>
    <d v="2025-10-06T00:00:00"/>
    <n v="19"/>
    <n v="366000"/>
    <s v="Yes"/>
    <n v="43"/>
    <n v="3"/>
    <x v="1"/>
  </r>
  <r>
    <n v="77"/>
    <n v="540"/>
    <d v="2025-04-02T00:00:00"/>
    <n v="18"/>
    <n v="360000"/>
    <s v="No"/>
    <n v="13"/>
    <n v="3"/>
    <x v="1"/>
  </r>
  <r>
    <n v="284"/>
    <n v="2123"/>
    <d v="2025-12-06T00:00:00"/>
    <n v="5"/>
    <n v="299000"/>
    <s v="Yes"/>
    <n v="58"/>
    <n v="3"/>
    <x v="1"/>
  </r>
  <r>
    <n v="186"/>
    <n v="1356"/>
    <d v="2025-07-18T00:00:00"/>
    <n v="8"/>
    <n v="474000"/>
    <s v="Yes"/>
    <n v="34"/>
    <n v="4"/>
    <x v="4"/>
  </r>
  <r>
    <n v="133"/>
    <n v="937"/>
    <d v="2025-06-11T00:00:00"/>
    <n v="23"/>
    <n v="365000"/>
    <s v="Yes"/>
    <n v="23"/>
    <n v="3"/>
    <x v="1"/>
  </r>
  <r>
    <n v="160"/>
    <n v="1146"/>
    <d v="2025-07-07T00:00:00"/>
    <n v="18"/>
    <n v="346000"/>
    <s v="No"/>
    <n v="28"/>
    <n v="3"/>
    <x v="1"/>
  </r>
  <r>
    <n v="90"/>
    <n v="655"/>
    <d v="2025-05-07T00:00:00"/>
    <n v="26"/>
    <n v="499000"/>
    <s v="Yes"/>
    <n v="17"/>
    <n v="2"/>
    <x v="0"/>
  </r>
  <r>
    <n v="70"/>
    <n v="515"/>
    <d v="2025-03-16T00:00:00"/>
    <n v="5"/>
    <n v="333000"/>
    <s v="Yes"/>
    <n v="13"/>
    <n v="3"/>
    <x v="1"/>
  </r>
  <r>
    <n v="29"/>
    <n v="195"/>
    <d v="2025-02-05T00:00:00"/>
    <n v="30"/>
    <n v="412000"/>
    <s v="Yes"/>
    <n v="4"/>
    <n v="4"/>
    <x v="4"/>
  </r>
  <r>
    <n v="45"/>
    <n v="336"/>
    <d v="2025-03-05T00:00:00"/>
    <n v="5"/>
    <n v="370000"/>
    <s v="Yes"/>
    <n v="8"/>
    <n v="3"/>
    <x v="1"/>
  </r>
  <r>
    <n v="117"/>
    <n v="845"/>
    <d v="2025-06-20T00:00:00"/>
    <n v="31"/>
    <n v="851000"/>
    <s v="Yes"/>
    <n v="21"/>
    <n v="1"/>
    <x v="3"/>
  </r>
  <r>
    <n v="153"/>
    <n v="1054"/>
    <d v="2025-07-11T00:00:00"/>
    <n v="22"/>
    <n v="548000"/>
    <s v="Yes"/>
    <n v="27"/>
    <n v="2"/>
    <x v="0"/>
  </r>
  <r>
    <n v="99"/>
    <n v="704"/>
    <d v="2025-04-21T00:00:00"/>
    <n v="12"/>
    <n v="335000"/>
    <s v="Yes"/>
    <n v="18"/>
    <n v="3"/>
    <x v="1"/>
  </r>
  <r>
    <n v="260"/>
    <n v="1914"/>
    <d v="2025-11-14T00:00:00"/>
    <n v="20"/>
    <n v="486000"/>
    <s v="No"/>
    <n v="49"/>
    <n v="4"/>
    <x v="4"/>
  </r>
  <r>
    <n v="176"/>
    <n v="1270"/>
    <d v="2025-08-14T00:00:00"/>
    <n v="22"/>
    <n v="340765.77"/>
    <s v="Yes"/>
    <n v="33"/>
    <n v="3"/>
    <x v="1"/>
  </r>
  <r>
    <n v="149"/>
    <n v="1033"/>
    <d v="2025-07-10T00:00:00"/>
    <n v="36"/>
    <n v="512000"/>
    <s v="Yes"/>
    <n v="27"/>
    <n v="2"/>
    <x v="0"/>
  </r>
  <r>
    <n v="59"/>
    <n v="441"/>
    <d v="2025-04-20T00:00:00"/>
    <n v="31"/>
    <n v="890000"/>
    <s v="Yes"/>
    <n v="11"/>
    <n v="1"/>
    <x v="3"/>
  </r>
  <r>
    <n v="166"/>
    <n v="1208"/>
    <d v="2025-08-22T00:00:00"/>
    <n v="40"/>
    <n v="1101000"/>
    <s v="Yes"/>
    <n v="31"/>
    <n v="1"/>
    <x v="3"/>
  </r>
  <r>
    <n v="276"/>
    <n v="2073"/>
    <d v="2026-01-26T00:00:00"/>
    <n v="35"/>
    <n v="901000"/>
    <s v="No"/>
    <n v="56"/>
    <n v="1"/>
    <x v="3"/>
  </r>
  <r>
    <n v="241"/>
    <n v="1774"/>
    <d v="2025-11-20T00:00:00"/>
    <n v="43"/>
    <n v="933000"/>
    <s v="Yes"/>
    <n v="46"/>
    <n v="1"/>
    <x v="3"/>
  </r>
  <r>
    <n v="285"/>
    <n v="2126"/>
    <d v="2026-01-14T00:00:00"/>
    <n v="19"/>
    <n v="460000"/>
    <s v="No"/>
    <n v="59"/>
    <n v="4"/>
    <x v="4"/>
  </r>
  <r>
    <n v="265"/>
    <n v="1957"/>
    <d v="2025-12-31T00:00:00"/>
    <n v="41"/>
    <n v="1026000"/>
    <s v="Yes"/>
    <n v="51"/>
    <n v="1"/>
    <x v="3"/>
  </r>
  <r>
    <n v="1"/>
    <n v="1"/>
    <d v="2025-02-03T00:00:00"/>
    <n v="32"/>
    <n v="897000"/>
    <s v="Yes"/>
    <n v="1"/>
    <n v="1"/>
    <x v="3"/>
  </r>
  <r>
    <n v="9"/>
    <n v="49"/>
    <d v="2025-02-22T00:00:00"/>
    <n v="30"/>
    <n v="644000"/>
    <s v="Yes"/>
    <n v="2"/>
    <n v="2"/>
    <x v="0"/>
  </r>
  <r>
    <n v="91"/>
    <n v="659"/>
    <d v="2025-05-04T00:00:00"/>
    <n v="18"/>
    <n v="641000"/>
    <s v="Yes"/>
    <n v="17"/>
    <n v="2"/>
    <x v="0"/>
  </r>
  <r>
    <n v="150"/>
    <n v="1036"/>
    <d v="2025-07-26T00:00:00"/>
    <n v="36"/>
    <n v="612000"/>
    <s v="No"/>
    <n v="27"/>
    <n v="2"/>
    <x v="0"/>
  </r>
  <r>
    <n v="23"/>
    <n v="179"/>
    <d v="2025-01-15T00:00:00"/>
    <n v="14"/>
    <n v="321000"/>
    <s v="Yes"/>
    <n v="3"/>
    <n v="3"/>
    <x v="1"/>
  </r>
  <r>
    <n v="200"/>
    <n v="1451"/>
    <d v="2025-09-19T00:00:00"/>
    <n v="22"/>
    <n v="348000"/>
    <s v="Yes"/>
    <n v="38"/>
    <n v="3"/>
    <x v="1"/>
  </r>
  <r>
    <n v="41"/>
    <n v="316"/>
    <d v="2025-02-13T00:00:00"/>
    <n v="5"/>
    <n v="287000"/>
    <s v="No"/>
    <n v="8"/>
    <n v="3"/>
    <x v="1"/>
  </r>
  <r>
    <n v="167"/>
    <n v="1216"/>
    <d v="2025-08-16T00:00:00"/>
    <n v="42"/>
    <n v="1020000"/>
    <s v="No"/>
    <n v="31"/>
    <n v="1"/>
    <x v="3"/>
  </r>
  <r>
    <n v="256"/>
    <n v="1853"/>
    <d v="2025-10-26T00:00:00"/>
    <n v="14"/>
    <n v="337000"/>
    <s v="Yes"/>
    <n v="48"/>
    <n v="3"/>
    <x v="1"/>
  </r>
  <r>
    <n v="240"/>
    <n v="1760"/>
    <d v="2025-10-13T00:00:00"/>
    <n v="27"/>
    <n v="502000"/>
    <s v="Yes"/>
    <n v="45"/>
    <n v="5"/>
    <x v="2"/>
  </r>
  <r>
    <n v="203"/>
    <n v="1463"/>
    <d v="2025-09-13T00:00:00"/>
    <n v="16"/>
    <n v="310000"/>
    <s v="Yes"/>
    <n v="38"/>
    <n v="3"/>
    <x v="1"/>
  </r>
  <r>
    <n v="273"/>
    <n v="2012"/>
    <d v="2025-11-18T00:00:00"/>
    <n v="14"/>
    <n v="293000"/>
    <s v="Yes"/>
    <n v="53"/>
    <n v="3"/>
    <x v="1"/>
  </r>
  <r>
    <n v="170"/>
    <n v="1231"/>
    <d v="2025-08-08T00:00:00"/>
    <n v="22"/>
    <n v="631000"/>
    <s v="No"/>
    <n v="32"/>
    <n v="2"/>
    <x v="0"/>
  </r>
  <r>
    <n v="217"/>
    <n v="1584"/>
    <d v="2025-10-17T00:00:00"/>
    <n v="37"/>
    <n v="630000"/>
    <s v="Yes"/>
    <n v="42"/>
    <n v="2"/>
    <x v="0"/>
  </r>
  <r>
    <n v="169"/>
    <n v="1230"/>
    <d v="2025-07-25T00:00:00"/>
    <n v="9"/>
    <n v="633000"/>
    <s v="Yes"/>
    <n v="32"/>
    <n v="2"/>
    <x v="0"/>
  </r>
  <r>
    <n v="277"/>
    <n v="2074"/>
    <d v="2026-01-18T00:00:00"/>
    <n v="45"/>
    <n v="983139.53"/>
    <s v="Yes"/>
    <n v="56"/>
    <n v="1"/>
    <x v="3"/>
  </r>
  <r>
    <n v="226"/>
    <n v="1640"/>
    <d v="2025-10-01T00:00:00"/>
    <n v="19"/>
    <n v="325000"/>
    <s v="Yes"/>
    <n v="43"/>
    <n v="3"/>
    <x v="1"/>
  </r>
  <r>
    <n v="159"/>
    <n v="1143"/>
    <d v="2025-07-07T00:00:00"/>
    <n v="30"/>
    <n v="357000"/>
    <s v="Yes"/>
    <n v="28"/>
    <n v="3"/>
    <x v="1"/>
  </r>
  <r>
    <n v="210"/>
    <n v="1526"/>
    <d v="2025-09-08T00:00:00"/>
    <n v="36"/>
    <n v="451000"/>
    <s v="Yes"/>
    <n v="39"/>
    <n v="4"/>
    <x v="4"/>
  </r>
  <r>
    <n v="245"/>
    <n v="1813"/>
    <d v="2025-10-29T00:00:00"/>
    <n v="25"/>
    <n v="567000"/>
    <s v="Yes"/>
    <n v="47"/>
    <n v="2"/>
    <x v="0"/>
  </r>
  <r>
    <n v="234"/>
    <n v="1659"/>
    <d v="2025-10-17T00:00:00"/>
    <n v="25"/>
    <n v="373000"/>
    <s v="Yes"/>
    <n v="43"/>
    <n v="3"/>
    <x v="1"/>
  </r>
  <r>
    <n v="212"/>
    <n v="1553"/>
    <d v="2025-09-01T00:00:00"/>
    <n v="31"/>
    <n v="464000"/>
    <s v="No"/>
    <n v="40"/>
    <n v="5"/>
    <x v="2"/>
  </r>
  <r>
    <n v="92"/>
    <n v="664"/>
    <d v="2025-04-15T00:00:00"/>
    <n v="7"/>
    <n v="540000"/>
    <s v="Yes"/>
    <n v="17"/>
    <n v="2"/>
    <x v="0"/>
  </r>
  <r>
    <n v="243"/>
    <n v="1797"/>
    <d v="2025-11-16T00:00:00"/>
    <n v="37"/>
    <n v="1134000"/>
    <s v="Yes"/>
    <n v="46"/>
    <n v="1"/>
    <x v="3"/>
  </r>
  <r>
    <n v="131"/>
    <n v="928"/>
    <d v="2025-05-28T00:00:00"/>
    <n v="5"/>
    <n v="377000"/>
    <s v="Yes"/>
    <n v="23"/>
    <n v="3"/>
    <x v="1"/>
  </r>
  <r>
    <n v="189"/>
    <n v="1377"/>
    <d v="2025-08-23T00:00:00"/>
    <n v="32"/>
    <n v="491000"/>
    <s v="No"/>
    <n v="35"/>
    <n v="5"/>
    <x v="2"/>
  </r>
  <r>
    <n v="88"/>
    <n v="646"/>
    <d v="2025-05-21T00:00:00"/>
    <n v="43"/>
    <n v="909000"/>
    <s v="No"/>
    <n v="16"/>
    <n v="1"/>
    <x v="3"/>
  </r>
  <r>
    <n v="120"/>
    <n v="883"/>
    <d v="2025-06-20T00:00:00"/>
    <n v="30"/>
    <n v="579000"/>
    <s v="Yes"/>
    <n v="22"/>
    <n v="2"/>
    <x v="0"/>
  </r>
  <r>
    <n v="163"/>
    <n v="1170"/>
    <d v="2025-07-05T00:00:00"/>
    <n v="22"/>
    <n v="454000"/>
    <s v="Yes"/>
    <n v="29"/>
    <n v="4"/>
    <x v="4"/>
  </r>
  <r>
    <n v="19"/>
    <n v="112"/>
    <d v="2025-01-19T00:00:00"/>
    <n v="10"/>
    <n v="345000"/>
    <s v="Yes"/>
    <n v="3"/>
    <n v="3"/>
    <x v="1"/>
  </r>
  <r>
    <n v="219"/>
    <n v="1600"/>
    <d v="2025-09-25T00:00:00"/>
    <n v="22"/>
    <n v="559000"/>
    <s v="No"/>
    <n v="42"/>
    <n v="2"/>
    <x v="0"/>
  </r>
  <r>
    <n v="84"/>
    <n v="596"/>
    <d v="2025-04-14T00:00:00"/>
    <n v="30"/>
    <n v="367000"/>
    <s v="Yes"/>
    <n v="14"/>
    <n v="4"/>
    <x v="4"/>
  </r>
  <r>
    <n v="227"/>
    <n v="1645"/>
    <d v="2025-09-27T00:00:00"/>
    <n v="13"/>
    <n v="362000"/>
    <s v="No"/>
    <n v="43"/>
    <n v="3"/>
    <x v="1"/>
  </r>
  <r>
    <n v="48"/>
    <n v="346"/>
    <d v="2025-02-19T00:00:00"/>
    <n v="9"/>
    <n v="331000"/>
    <s v="Yes"/>
    <n v="8"/>
    <n v="3"/>
    <x v="1"/>
  </r>
  <r>
    <n v="114"/>
    <n v="824"/>
    <d v="2025-04-27T00:00:00"/>
    <n v="17"/>
    <n v="524000"/>
    <s v="Yes"/>
    <n v="20"/>
    <n v="5"/>
    <x v="2"/>
  </r>
  <r>
    <n v="79"/>
    <n v="542"/>
    <d v="2025-03-21T00:00:00"/>
    <n v="12"/>
    <n v="394000"/>
    <s v="Yes"/>
    <n v="13"/>
    <n v="3"/>
    <x v="1"/>
  </r>
  <r>
    <n v="181"/>
    <n v="1289"/>
    <d v="2025-07-20T00:00:00"/>
    <n v="16"/>
    <n v="336000"/>
    <s v="Yes"/>
    <n v="33"/>
    <n v="3"/>
    <x v="1"/>
  </r>
  <r>
    <n v="67"/>
    <n v="489"/>
    <d v="2025-03-30T00:00:00"/>
    <n v="24"/>
    <n v="504000"/>
    <s v="Yes"/>
    <n v="12"/>
    <n v="2"/>
    <x v="0"/>
  </r>
  <r>
    <n v="35"/>
    <n v="283"/>
    <d v="2025-02-23T00:00:00"/>
    <n v="22"/>
    <n v="476000"/>
    <s v="No"/>
    <n v="7"/>
    <n v="2"/>
    <x v="0"/>
  </r>
  <r>
    <n v="174"/>
    <n v="1238"/>
    <d v="2025-08-12T00:00:00"/>
    <n v="19"/>
    <n v="501000"/>
    <s v="Yes"/>
    <n v="32"/>
    <n v="2"/>
    <x v="0"/>
  </r>
  <r>
    <n v="141"/>
    <n v="987"/>
    <d v="2025-06-10T00:00:00"/>
    <n v="31"/>
    <n v="447000"/>
    <s v="No"/>
    <n v="25"/>
    <n v="5"/>
    <x v="2"/>
  </r>
  <r>
    <n v="157"/>
    <n v="1108"/>
    <d v="2025-07-21T00:00:00"/>
    <n v="26"/>
    <n v="350000"/>
    <s v="Yes"/>
    <n v="28"/>
    <n v="3"/>
    <x v="1"/>
  </r>
  <r>
    <n v="93"/>
    <n v="677"/>
    <d v="2025-05-11T00:00:00"/>
    <n v="27"/>
    <n v="513000"/>
    <s v="Yes"/>
    <n v="17"/>
    <n v="2"/>
    <x v="0"/>
  </r>
  <r>
    <n v="264"/>
    <n v="1956"/>
    <d v="2025-12-23T00:00:00"/>
    <n v="26"/>
    <n v="1174000"/>
    <s v="No"/>
    <n v="51"/>
    <n v="1"/>
    <x v="3"/>
  </r>
  <r>
    <n v="56"/>
    <n v="421"/>
    <d v="2025-03-10T00:00:00"/>
    <n v="20"/>
    <n v="533000"/>
    <s v="Yes"/>
    <n v="10"/>
    <n v="5"/>
    <x v="2"/>
  </r>
  <r>
    <n v="31"/>
    <n v="247"/>
    <d v="2025-03-22T00:00:00"/>
    <n v="39"/>
    <n v="829000"/>
    <s v="Yes"/>
    <n v="6"/>
    <n v="1"/>
    <x v="3"/>
  </r>
  <r>
    <n v="76"/>
    <n v="529"/>
    <d v="2025-04-15T00:00:00"/>
    <n v="19"/>
    <n v="273000"/>
    <s v="Yes"/>
    <n v="13"/>
    <n v="3"/>
    <x v="1"/>
  </r>
  <r>
    <n v="3"/>
    <n v="5"/>
    <d v="2025-03-04T00:00:00"/>
    <n v="38"/>
    <n v="1012000"/>
    <s v="Yes"/>
    <n v="1"/>
    <n v="1"/>
    <x v="3"/>
  </r>
  <r>
    <n v="103"/>
    <n v="715"/>
    <d v="2025-04-26T00:00:00"/>
    <n v="16"/>
    <n v="300000"/>
    <s v="Yes"/>
    <n v="18"/>
    <n v="3"/>
    <x v="1"/>
  </r>
  <r>
    <n v="108"/>
    <n v="780"/>
    <d v="2025-05-24T00:00:00"/>
    <n v="33"/>
    <n v="456000"/>
    <s v="No"/>
    <n v="19"/>
    <n v="4"/>
    <x v="4"/>
  </r>
  <r>
    <n v="36"/>
    <n v="285"/>
    <d v="2025-03-01T00:00:00"/>
    <n v="28"/>
    <n v="500000"/>
    <s v="No"/>
    <n v="7"/>
    <n v="2"/>
    <x v="0"/>
  </r>
  <r>
    <n v="125"/>
    <n v="897"/>
    <d v="2025-06-04T00:00:00"/>
    <n v="19"/>
    <n v="581000"/>
    <s v="Yes"/>
    <n v="22"/>
    <n v="2"/>
    <x v="0"/>
  </r>
  <r>
    <n v="135"/>
    <n v="947"/>
    <d v="2025-05-27T00:00:00"/>
    <n v="15"/>
    <n v="358000"/>
    <s v="No"/>
    <n v="23"/>
    <n v="3"/>
    <x v="1"/>
  </r>
  <r>
    <n v="192"/>
    <n v="1409"/>
    <d v="2025-10-01T00:00:00"/>
    <n v="48"/>
    <n v="1158000"/>
    <s v="Yes"/>
    <n v="36"/>
    <n v="1"/>
    <x v="3"/>
  </r>
  <r>
    <n v="178"/>
    <n v="1279"/>
    <d v="2025-07-22T00:00:00"/>
    <n v="15"/>
    <n v="296000"/>
    <s v="Yes"/>
    <n v="33"/>
    <n v="3"/>
    <x v="1"/>
  </r>
  <r>
    <n v="151"/>
    <n v="1037"/>
    <d v="2025-07-17T00:00:00"/>
    <n v="32"/>
    <n v="549000"/>
    <s v="No"/>
    <n v="27"/>
    <n v="2"/>
    <x v="0"/>
  </r>
  <r>
    <n v="172"/>
    <n v="1234"/>
    <d v="2025-07-29T00:00:00"/>
    <n v="19"/>
    <n v="632000"/>
    <s v="Yes"/>
    <n v="32"/>
    <n v="2"/>
    <x v="0"/>
  </r>
  <r>
    <n v="30"/>
    <n v="230"/>
    <d v="2025-03-24T00:00:00"/>
    <n v="43"/>
    <n v="971000"/>
    <s v="Yes"/>
    <n v="6"/>
    <n v="1"/>
    <x v="3"/>
  </r>
  <r>
    <n v="113"/>
    <n v="814"/>
    <d v="2025-05-05T00:00:00"/>
    <n v="25"/>
    <n v="436000"/>
    <s v="Yes"/>
    <n v="20"/>
    <n v="5"/>
    <x v="2"/>
  </r>
  <r>
    <n v="51"/>
    <n v="384"/>
    <d v="2025-03-21T00:00:00"/>
    <n v="38"/>
    <n v="489000"/>
    <s v="Yes"/>
    <n v="9"/>
    <n v="4"/>
    <x v="4"/>
  </r>
  <r>
    <n v="43"/>
    <n v="331"/>
    <d v="2025-03-18T00:00:00"/>
    <n v="18"/>
    <n v="363000"/>
    <s v="Yes"/>
    <n v="8"/>
    <n v="3"/>
    <x v="1"/>
  </r>
  <r>
    <n v="32"/>
    <n v="266"/>
    <d v="2025-03-04T00:00:00"/>
    <n v="31"/>
    <n v="676000"/>
    <s v="Yes"/>
    <n v="7"/>
    <n v="2"/>
    <x v="0"/>
  </r>
  <r>
    <n v="182"/>
    <n v="1297"/>
    <d v="2025-07-24T00:00:00"/>
    <n v="11"/>
    <n v="273000"/>
    <s v="Yes"/>
    <n v="33"/>
    <n v="3"/>
    <x v="1"/>
  </r>
  <r>
    <n v="42"/>
    <n v="318"/>
    <d v="2025-03-01T00:00:00"/>
    <n v="13"/>
    <n v="294000"/>
    <s v="Yes"/>
    <n v="8"/>
    <n v="3"/>
    <x v="1"/>
  </r>
  <r>
    <n v="4"/>
    <n v="8"/>
    <d v="2025-03-07T00:00:00"/>
    <n v="40"/>
    <n v="921000"/>
    <s v="Yes"/>
    <n v="1"/>
    <n v="1"/>
    <x v="3"/>
  </r>
  <r>
    <n v="33"/>
    <n v="270"/>
    <d v="2025-03-18T00:00:00"/>
    <n v="26"/>
    <n v="504000"/>
    <s v="Yes"/>
    <n v="7"/>
    <n v="2"/>
    <x v="0"/>
  </r>
  <r>
    <n v="236"/>
    <n v="1721"/>
    <d v="2025-10-17T00:00:00"/>
    <n v="26"/>
    <n v="487000"/>
    <s v="Yes"/>
    <n v="44"/>
    <n v="4"/>
    <x v="4"/>
  </r>
  <r>
    <n v="20"/>
    <n v="114"/>
    <d v="2025-02-14T00:00:00"/>
    <n v="27"/>
    <n v="327000"/>
    <s v="Yes"/>
    <n v="3"/>
    <n v="3"/>
    <x v="1"/>
  </r>
  <r>
    <n v="281"/>
    <n v="2110"/>
    <d v="2026-01-06T00:00:00"/>
    <n v="17"/>
    <n v="345000"/>
    <s v="No"/>
    <n v="58"/>
    <n v="3"/>
    <x v="1"/>
  </r>
  <r>
    <n v="27"/>
    <n v="190"/>
    <d v="2025-03-03T00:00:00"/>
    <n v="42"/>
    <n v="373000"/>
    <s v="No"/>
    <n v="4"/>
    <n v="4"/>
    <x v="4"/>
  </r>
  <r>
    <n v="21"/>
    <n v="134"/>
    <d v="2025-01-13T00:00:00"/>
    <n v="5"/>
    <n v="289000"/>
    <s v="Yes"/>
    <n v="3"/>
    <n v="3"/>
    <x v="1"/>
  </r>
  <r>
    <n v="143"/>
    <n v="999"/>
    <d v="2025-07-10T00:00:00"/>
    <n v="27"/>
    <n v="1041000"/>
    <s v="Yes"/>
    <n v="26"/>
    <n v="1"/>
    <x v="3"/>
  </r>
  <r>
    <n v="248"/>
    <n v="1829"/>
    <d v="2025-11-13T00:00:00"/>
    <n v="22"/>
    <n v="491000"/>
    <s v="Yes"/>
    <n v="47"/>
    <n v="2"/>
    <x v="0"/>
  </r>
  <r>
    <n v="228"/>
    <n v="1646"/>
    <d v="2025-09-17T00:00:00"/>
    <n v="10"/>
    <n v="344000"/>
    <s v="No"/>
    <n v="43"/>
    <n v="3"/>
    <x v="1"/>
  </r>
  <r>
    <n v="119"/>
    <n v="857"/>
    <d v="2025-07-15T00:00:00"/>
    <n v="54"/>
    <n v="825000"/>
    <s v="Yes"/>
    <n v="21"/>
    <n v="1"/>
    <x v="3"/>
  </r>
  <r>
    <n v="171"/>
    <n v="1233"/>
    <d v="2025-08-13T00:00:00"/>
    <n v="33"/>
    <n v="540000"/>
    <s v="Yes"/>
    <n v="32"/>
    <n v="2"/>
    <x v="0"/>
  </r>
  <r>
    <n v="61"/>
    <n v="448"/>
    <d v="2025-04-22T00:00:00"/>
    <n v="41"/>
    <n v="1018000"/>
    <s v="Yes"/>
    <n v="11"/>
    <n v="1"/>
    <x v="3"/>
  </r>
  <r>
    <n v="279"/>
    <n v="2085"/>
    <d v="2026-01-19T00:00:00"/>
    <n v="27"/>
    <n v="678000"/>
    <s v="Yes"/>
    <n v="57"/>
    <n v="2"/>
    <x v="0"/>
  </r>
  <r>
    <n v="253"/>
    <n v="1843"/>
    <d v="2025-11-08T00:00:00"/>
    <n v="15"/>
    <n v="373000"/>
    <s v="Yes"/>
    <n v="48"/>
    <n v="3"/>
    <x v="1"/>
  </r>
  <r>
    <n v="215"/>
    <n v="1578"/>
    <d v="2025-09-30T00:00:00"/>
    <n v="29"/>
    <n v="1138000"/>
    <s v="No"/>
    <n v="41"/>
    <n v="1"/>
    <x v="3"/>
  </r>
  <r>
    <n v="190"/>
    <n v="1380"/>
    <d v="2025-08-20T00:00:00"/>
    <n v="36"/>
    <n v="462000"/>
    <s v="No"/>
    <n v="35"/>
    <n v="5"/>
    <x v="2"/>
  </r>
  <r>
    <n v="193"/>
    <n v="1418"/>
    <d v="2025-09-07T00:00:00"/>
    <n v="16"/>
    <n v="512000"/>
    <s v="Yes"/>
    <n v="37"/>
    <n v="2"/>
    <x v="0"/>
  </r>
  <r>
    <n v="247"/>
    <n v="1828"/>
    <d v="2025-11-06T00:00:00"/>
    <n v="23"/>
    <n v="678000"/>
    <s v="Yes"/>
    <n v="47"/>
    <n v="2"/>
    <x v="0"/>
  </r>
  <r>
    <n v="69"/>
    <n v="506"/>
    <d v="2025-04-12T00:00:00"/>
    <n v="20"/>
    <n v="598000"/>
    <s v="No"/>
    <n v="12"/>
    <n v="2"/>
    <x v="0"/>
  </r>
  <r>
    <n v="2"/>
    <n v="2"/>
    <d v="2025-02-12T00:00:00"/>
    <n v="35"/>
    <n v="1057000"/>
    <s v="Yes"/>
    <n v="1"/>
    <n v="1"/>
    <x v="3"/>
  </r>
  <r>
    <n v="231"/>
    <n v="1650"/>
    <d v="2025-09-12T00:00:00"/>
    <n v="8"/>
    <n v="330000"/>
    <s v="Yes"/>
    <n v="43"/>
    <n v="3"/>
    <x v="1"/>
  </r>
  <r>
    <n v="154"/>
    <n v="1062"/>
    <d v="2025-07-26T00:00:00"/>
    <n v="28"/>
    <n v="552000"/>
    <s v="Yes"/>
    <n v="27"/>
    <n v="2"/>
    <x v="0"/>
  </r>
  <r>
    <n v="202"/>
    <n v="1459"/>
    <d v="2025-09-10T00:00:00"/>
    <n v="18"/>
    <n v="345000"/>
    <s v="Yes"/>
    <n v="38"/>
    <n v="3"/>
    <x v="1"/>
  </r>
  <r>
    <n v="250"/>
    <n v="1839"/>
    <d v="2025-10-24T00:00:00"/>
    <n v="8"/>
    <n v="329000"/>
    <s v="Yes"/>
    <n v="48"/>
    <n v="3"/>
    <x v="1"/>
  </r>
  <r>
    <n v="10"/>
    <n v="52"/>
    <d v="2025-02-04T00:00:00"/>
    <n v="17"/>
    <n v="567000"/>
    <s v="Yes"/>
    <n v="2"/>
    <n v="2"/>
    <x v="0"/>
  </r>
  <r>
    <n v="39"/>
    <n v="304"/>
    <d v="2025-02-28T00:00:00"/>
    <n v="15"/>
    <n v="526000"/>
    <s v="Yes"/>
    <n v="7"/>
    <n v="2"/>
    <x v="0"/>
  </r>
  <r>
    <n v="87"/>
    <n v="620"/>
    <d v="2025-04-16T00:00:00"/>
    <n v="22"/>
    <n v="479000"/>
    <s v="No"/>
    <n v="15"/>
    <n v="5"/>
    <x v="2"/>
  </r>
  <r>
    <n v="199"/>
    <n v="1449"/>
    <d v="2025-08-21T00:00:00"/>
    <n v="11"/>
    <n v="370000"/>
    <s v="Yes"/>
    <n v="38"/>
    <n v="3"/>
    <x v="1"/>
  </r>
  <r>
    <n v="106"/>
    <n v="733"/>
    <d v="2025-04-25T00:00:00"/>
    <n v="15"/>
    <n v="375000"/>
    <s v="Yes"/>
    <n v="18"/>
    <n v="3"/>
    <x v="1"/>
  </r>
  <r>
    <n v="65"/>
    <n v="486"/>
    <d v="2025-03-21T00:00:00"/>
    <n v="17"/>
    <n v="473000"/>
    <s v="Yes"/>
    <n v="12"/>
    <n v="2"/>
    <x v="0"/>
  </r>
  <r>
    <n v="274"/>
    <n v="2054"/>
    <d v="2025-11-17T00:00:00"/>
    <n v="10"/>
    <n v="422000"/>
    <s v="Yes"/>
    <n v="54"/>
    <n v="4"/>
    <x v="4"/>
  </r>
  <r>
    <n v="16"/>
    <n v="99"/>
    <d v="2025-02-05T00:00:00"/>
    <n v="8"/>
    <n v="308000"/>
    <s v="Yes"/>
    <n v="3"/>
    <n v="3"/>
    <x v="1"/>
  </r>
  <r>
    <n v="269"/>
    <n v="2003"/>
    <d v="2025-12-11T00:00:00"/>
    <n v="13"/>
    <n v="366000"/>
    <s v="Yes"/>
    <n v="53"/>
    <n v="3"/>
    <x v="1"/>
  </r>
  <r>
    <n v="146"/>
    <n v="1003"/>
    <d v="2025-08-03T00:00:00"/>
    <n v="40"/>
    <n v="890000"/>
    <s v="Yes"/>
    <n v="26"/>
    <n v="1"/>
    <x v="3"/>
  </r>
  <r>
    <n v="134"/>
    <n v="940"/>
    <d v="2025-05-16T00:00:00"/>
    <n v="10"/>
    <n v="310000"/>
    <s v="No"/>
    <n v="23"/>
    <n v="3"/>
    <x v="1"/>
  </r>
  <r>
    <n v="122"/>
    <n v="892"/>
    <d v="2025-05-29T00:00:00"/>
    <n v="20"/>
    <n v="667000"/>
    <s v="Yes"/>
    <n v="22"/>
    <n v="2"/>
    <x v="0"/>
  </r>
  <r>
    <n v="158"/>
    <n v="1124"/>
    <d v="2025-07-11T00:00:00"/>
    <n v="14"/>
    <n v="390000"/>
    <s v="Yes"/>
    <n v="28"/>
    <n v="3"/>
    <x v="1"/>
  </r>
  <r>
    <n v="104"/>
    <n v="716"/>
    <d v="2025-04-30T00:00:00"/>
    <n v="9"/>
    <n v="370000"/>
    <s v="Yes"/>
    <n v="18"/>
    <n v="3"/>
    <x v="1"/>
  </r>
  <r>
    <n v="197"/>
    <n v="1433"/>
    <d v="2025-09-12T00:00:00"/>
    <n v="21"/>
    <n v="671000"/>
    <s v="No"/>
    <n v="37"/>
    <n v="2"/>
    <x v="0"/>
  </r>
  <r>
    <n v="195"/>
    <n v="1429"/>
    <d v="2025-09-05T00:00:00"/>
    <n v="18"/>
    <n v="629000"/>
    <s v="Yes"/>
    <n v="37"/>
    <n v="2"/>
    <x v="0"/>
  </r>
  <r>
    <n v="271"/>
    <n v="2009"/>
    <d v="2025-11-18T00:00:00"/>
    <n v="14"/>
    <n v="320000"/>
    <s v="Yes"/>
    <n v="53"/>
    <n v="3"/>
    <x v="1"/>
  </r>
  <r>
    <n v="152"/>
    <n v="1044"/>
    <d v="2025-06-25T00:00:00"/>
    <n v="21"/>
    <n v="542000"/>
    <s v="Yes"/>
    <n v="27"/>
    <n v="2"/>
    <x v="0"/>
  </r>
  <r>
    <n v="126"/>
    <n v="903"/>
    <d v="2025-06-15T00:00:00"/>
    <n v="27"/>
    <n v="581000"/>
    <s v="Yes"/>
    <n v="22"/>
    <n v="2"/>
    <x v="0"/>
  </r>
  <r>
    <n v="54"/>
    <n v="413"/>
    <d v="2025-03-30T00:00:00"/>
    <n v="32"/>
    <n v="484000"/>
    <s v="Yes"/>
    <n v="10"/>
    <n v="5"/>
    <x v="2"/>
  </r>
  <r>
    <n v="266"/>
    <n v="1996"/>
    <d v="2025-12-14T00:00:00"/>
    <n v="27"/>
    <n v="618000"/>
    <s v="No"/>
    <n v="52"/>
    <n v="2"/>
    <x v="0"/>
  </r>
  <r>
    <n v="230"/>
    <n v="1648"/>
    <d v="2025-10-02T00:00:00"/>
    <n v="16"/>
    <n v="326000"/>
    <s v="Yes"/>
    <n v="43"/>
    <n v="3"/>
    <x v="1"/>
  </r>
  <r>
    <n v="25"/>
    <n v="182"/>
    <d v="2025-02-14T00:00:00"/>
    <n v="31"/>
    <n v="378000"/>
    <s v="Yes"/>
    <n v="4"/>
    <n v="4"/>
    <x v="4"/>
  </r>
  <r>
    <n v="280"/>
    <n v="2087"/>
    <d v="2025-12-29T00:00:00"/>
    <n v="27"/>
    <n v="599000"/>
    <s v="Yes"/>
    <n v="57"/>
    <n v="2"/>
    <x v="0"/>
  </r>
  <r>
    <n v="162"/>
    <n v="1160"/>
    <d v="2025-06-16T00:00:00"/>
    <n v="5"/>
    <n v="403000"/>
    <s v="Yes"/>
    <n v="29"/>
    <n v="4"/>
    <x v="4"/>
  </r>
  <r>
    <n v="37"/>
    <n v="300"/>
    <d v="2025-03-26T00:00:00"/>
    <n v="29"/>
    <n v="537000"/>
    <s v="Yes"/>
    <n v="7"/>
    <n v="2"/>
    <x v="0"/>
  </r>
  <r>
    <n v="86"/>
    <n v="604"/>
    <d v="2025-04-25T00:00:00"/>
    <n v="28"/>
    <n v="399000"/>
    <s v="Yes"/>
    <n v="14"/>
    <n v="4"/>
    <x v="4"/>
  </r>
  <r>
    <n v="252"/>
    <n v="1842"/>
    <d v="2025-10-24T00:00:00"/>
    <n v="17"/>
    <n v="390000"/>
    <s v="Yes"/>
    <n v="48"/>
    <n v="3"/>
    <x v="1"/>
  </r>
  <r>
    <n v="165"/>
    <n v="1179"/>
    <d v="2025-07-14T00:00:00"/>
    <n v="29"/>
    <n v="519000"/>
    <s v="Yes"/>
    <n v="30"/>
    <n v="5"/>
    <x v="2"/>
  </r>
  <r>
    <n v="255"/>
    <n v="1847"/>
    <d v="2025-11-01T00:00:00"/>
    <n v="17"/>
    <n v="399000"/>
    <s v="No"/>
    <n v="48"/>
    <n v="3"/>
    <x v="1"/>
  </r>
  <r>
    <n v="278"/>
    <n v="2075"/>
    <d v="2026-02-07T00:00:00"/>
    <n v="42"/>
    <n v="839000"/>
    <s v="Yes"/>
    <n v="56"/>
    <n v="1"/>
    <x v="3"/>
  </r>
  <r>
    <n v="123"/>
    <n v="893"/>
    <d v="2025-06-25T00:00:00"/>
    <n v="41"/>
    <n v="607000"/>
    <s v="Yes"/>
    <n v="22"/>
    <n v="2"/>
    <x v="0"/>
  </r>
  <r>
    <n v="95"/>
    <n v="681"/>
    <d v="2025-05-10T00:00:00"/>
    <n v="24"/>
    <n v="653000"/>
    <s v="Yes"/>
    <n v="17"/>
    <n v="2"/>
    <x v="0"/>
  </r>
  <r>
    <n v="115"/>
    <n v="835"/>
    <d v="2025-06-15T00:00:00"/>
    <n v="40"/>
    <n v="983139.53"/>
    <s v="No"/>
    <n v="21"/>
    <n v="1"/>
    <x v="3"/>
  </r>
  <r>
    <n v="60"/>
    <n v="442"/>
    <d v="2025-04-14T00:00:00"/>
    <n v="35"/>
    <n v="1173000"/>
    <s v="Yes"/>
    <n v="11"/>
    <n v="1"/>
    <x v="3"/>
  </r>
  <r>
    <n v="198"/>
    <n v="1439"/>
    <d v="2025-08-18T00:00:00"/>
    <n v="13"/>
    <n v="336000"/>
    <s v="Yes"/>
    <n v="38"/>
    <n v="3"/>
    <x v="1"/>
  </r>
  <r>
    <n v="102"/>
    <n v="712"/>
    <d v="2025-04-30T00:00:00"/>
    <n v="17"/>
    <n v="320000"/>
    <s v="Yes"/>
    <n v="18"/>
    <n v="3"/>
    <x v="1"/>
  </r>
  <r>
    <n v="7"/>
    <n v="32"/>
    <d v="2025-02-15T00:00:00"/>
    <n v="27"/>
    <n v="1069000"/>
    <s v="Yes"/>
    <n v="1"/>
    <n v="1"/>
    <x v="3"/>
  </r>
  <r>
    <n v="238"/>
    <n v="1728"/>
    <d v="2025-10-07T00:00:00"/>
    <n v="30"/>
    <n v="435000"/>
    <s v="Yes"/>
    <n v="44"/>
    <n v="4"/>
    <x v="4"/>
  </r>
  <r>
    <n v="58"/>
    <n v="440"/>
    <d v="2025-04-29T00:00:00"/>
    <n v="45"/>
    <n v="880000"/>
    <s v="Yes"/>
    <n v="11"/>
    <n v="1"/>
    <x v="3"/>
  </r>
  <r>
    <n v="116"/>
    <n v="841"/>
    <d v="2025-07-05T00:00:00"/>
    <n v="48"/>
    <n v="889000"/>
    <s v="Yes"/>
    <n v="21"/>
    <n v="1"/>
    <x v="3"/>
  </r>
  <r>
    <n v="28"/>
    <n v="194"/>
    <d v="2025-01-31T00:00:00"/>
    <n v="27"/>
    <n v="466000"/>
    <s v="Yes"/>
    <n v="4"/>
    <n v="4"/>
    <x v="4"/>
  </r>
  <r>
    <n v="183"/>
    <n v="1301"/>
    <d v="2025-07-11T00:00:00"/>
    <n v="5"/>
    <n v="352000"/>
    <s v="No"/>
    <n v="33"/>
    <n v="3"/>
    <x v="1"/>
  </r>
  <r>
    <n v="272"/>
    <n v="2010"/>
    <d v="2025-12-12T00:00:00"/>
    <n v="24"/>
    <n v="379000"/>
    <s v="Yes"/>
    <n v="53"/>
    <n v="3"/>
    <x v="1"/>
  </r>
  <r>
    <n v="196"/>
    <n v="1432"/>
    <d v="2025-09-21T00:00:00"/>
    <n v="30"/>
    <n v="615000"/>
    <s v="Yes"/>
    <n v="37"/>
    <n v="2"/>
    <x v="0"/>
  </r>
  <r>
    <n v="96"/>
    <n v="685"/>
    <d v="2025-05-25T00:00:00"/>
    <n v="28"/>
    <n v="614000"/>
    <s v="Yes"/>
    <n v="17"/>
    <n v="2"/>
    <x v="0"/>
  </r>
  <r>
    <n v="101"/>
    <n v="711"/>
    <d v="2025-05-19T00:00:00"/>
    <n v="22"/>
    <n v="297000"/>
    <s v="Yes"/>
    <n v="18"/>
    <n v="3"/>
    <x v="1"/>
  </r>
  <r>
    <n v="187"/>
    <n v="1359"/>
    <d v="2025-08-14T00:00:00"/>
    <n v="30"/>
    <n v="417000"/>
    <s v="No"/>
    <n v="34"/>
    <n v="4"/>
    <x v="4"/>
  </r>
  <r>
    <n v="128"/>
    <n v="913"/>
    <d v="2025-05-28T00:00:00"/>
    <n v="8"/>
    <n v="359000"/>
    <s v="Yes"/>
    <n v="23"/>
    <n v="3"/>
    <x v="1"/>
  </r>
  <r>
    <n v="5"/>
    <n v="13"/>
    <d v="2025-03-12T00:00:00"/>
    <n v="57"/>
    <n v="869000"/>
    <s v="Yes"/>
    <n v="1"/>
    <n v="1"/>
    <x v="3"/>
  </r>
  <r>
    <n v="98"/>
    <n v="703"/>
    <d v="2025-04-27T00:00:00"/>
    <n v="5"/>
    <n v="314000"/>
    <s v="Yes"/>
    <n v="18"/>
    <n v="3"/>
    <x v="1"/>
  </r>
  <r>
    <n v="63"/>
    <n v="459"/>
    <d v="2025-04-25T00:00:00"/>
    <n v="38"/>
    <n v="814000"/>
    <s v="No"/>
    <n v="11"/>
    <n v="1"/>
    <x v="3"/>
  </r>
  <r>
    <n v="130"/>
    <n v="926"/>
    <d v="2025-06-10T00:00:00"/>
    <n v="13"/>
    <n v="372000"/>
    <s v="No"/>
    <n v="23"/>
    <n v="3"/>
    <x v="1"/>
  </r>
  <r>
    <n v="137"/>
    <n v="965"/>
    <d v="2025-06-12T00:00:00"/>
    <n v="28"/>
    <n v="383000"/>
    <s v="Yes"/>
    <n v="24"/>
    <n v="4"/>
    <x v="4"/>
  </r>
  <r>
    <n v="180"/>
    <n v="1283"/>
    <d v="2025-07-06T00:00:00"/>
    <n v="5"/>
    <n v="277000"/>
    <s v="Yes"/>
    <n v="33"/>
    <n v="3"/>
    <x v="1"/>
  </r>
  <r>
    <n v="73"/>
    <n v="518"/>
    <d v="2025-03-18T00:00:00"/>
    <n v="5"/>
    <n v="385000"/>
    <s v="Yes"/>
    <n v="13"/>
    <n v="3"/>
    <x v="1"/>
  </r>
  <r>
    <n v="124"/>
    <n v="894"/>
    <d v="2025-06-25T00:00:00"/>
    <n v="37"/>
    <n v="548000"/>
    <s v="Yes"/>
    <n v="22"/>
    <n v="2"/>
    <x v="0"/>
  </r>
  <r>
    <n v="72"/>
    <n v="517"/>
    <d v="2025-04-09T00:00:00"/>
    <n v="16"/>
    <n v="344000"/>
    <s v="No"/>
    <n v="13"/>
    <n v="3"/>
    <x v="1"/>
  </r>
  <r>
    <n v="144"/>
    <n v="1001"/>
    <d v="2025-08-07T00:00:00"/>
    <n v="40"/>
    <n v="981000"/>
    <s v="Yes"/>
    <n v="26"/>
    <n v="1"/>
    <x v="3"/>
  </r>
  <r>
    <n v="105"/>
    <n v="728"/>
    <d v="2025-04-30T00:00:00"/>
    <n v="8"/>
    <n v="388000"/>
    <s v="Yes"/>
    <n v="18"/>
    <n v="3"/>
    <x v="1"/>
  </r>
  <r>
    <n v="57"/>
    <n v="426"/>
    <d v="2025-02-19T00:00:00"/>
    <n v="18"/>
    <n v="539000"/>
    <s v="Yes"/>
    <n v="10"/>
    <n v="5"/>
    <x v="2"/>
  </r>
  <r>
    <n v="24"/>
    <n v="180"/>
    <d v="2025-01-30T00:00:00"/>
    <n v="8"/>
    <n v="344000"/>
    <s v="Yes"/>
    <n v="3"/>
    <n v="3"/>
    <x v="1"/>
  </r>
  <r>
    <n v="110"/>
    <n v="796"/>
    <d v="2025-05-07T00:00:00"/>
    <n v="21"/>
    <n v="346000"/>
    <s v="Yes"/>
    <n v="19"/>
    <n v="4"/>
    <x v="4"/>
  </r>
  <r>
    <n v="75"/>
    <n v="525"/>
    <d v="2025-04-01T00:00:00"/>
    <n v="13"/>
    <n v="361000"/>
    <s v="Yes"/>
    <n v="13"/>
    <n v="3"/>
    <x v="1"/>
  </r>
  <r>
    <n v="97"/>
    <n v="699"/>
    <d v="2025-04-19T00:00:00"/>
    <n v="15"/>
    <n v="390000"/>
    <s v="Yes"/>
    <n v="18"/>
    <n v="3"/>
    <x v="1"/>
  </r>
  <r>
    <n v="121"/>
    <n v="890"/>
    <d v="2025-05-21T00:00:00"/>
    <n v="15"/>
    <n v="659000"/>
    <s v="Yes"/>
    <n v="22"/>
    <n v="2"/>
    <x v="0"/>
  </r>
  <r>
    <n v="148"/>
    <n v="1029"/>
    <d v="2025-07-26T00:00:00"/>
    <n v="39"/>
    <n v="656000"/>
    <s v="Yes"/>
    <n v="27"/>
    <n v="2"/>
    <x v="0"/>
  </r>
  <r>
    <n v="168"/>
    <n v="1222"/>
    <d v="2025-07-25T00:00:00"/>
    <n v="24"/>
    <n v="575000"/>
    <s v="Yes"/>
    <n v="32"/>
    <n v="2"/>
    <x v="0"/>
  </r>
  <r>
    <n v="268"/>
    <n v="2002"/>
    <d v="2025-12-15T00:00:00"/>
    <n v="31"/>
    <n v="315000"/>
    <s v="Yes"/>
    <n v="53"/>
    <n v="3"/>
    <x v="1"/>
  </r>
  <r>
    <n v="26"/>
    <n v="187"/>
    <d v="2025-02-04T00:00:00"/>
    <n v="27"/>
    <n v="427000"/>
    <s v="No"/>
    <n v="4"/>
    <n v="4"/>
    <x v="4"/>
  </r>
  <r>
    <n v="52"/>
    <n v="386"/>
    <d v="2025-03-11T00:00:00"/>
    <n v="28"/>
    <n v="444000"/>
    <s v="Yes"/>
    <n v="9"/>
    <n v="4"/>
    <x v="4"/>
  </r>
  <r>
    <n v="275"/>
    <n v="2063"/>
    <d v="2025-12-01T00:00:00"/>
    <n v="29"/>
    <n v="429000"/>
    <s v="Yes"/>
    <n v="55"/>
    <n v="5"/>
    <x v="2"/>
  </r>
  <r>
    <n v="71"/>
    <n v="516"/>
    <d v="2025-04-02T00:00:00"/>
    <n v="22"/>
    <n v="286000"/>
    <s v="Yes"/>
    <n v="13"/>
    <n v="3"/>
    <x v="1"/>
  </r>
  <r>
    <n v="263"/>
    <n v="1953"/>
    <d v="2025-12-22T00:00:00"/>
    <n v="38"/>
    <n v="1012000"/>
    <s v="Yes"/>
    <n v="51"/>
    <n v="1"/>
    <x v="3"/>
  </r>
  <r>
    <n v="6"/>
    <n v="14"/>
    <d v="2025-03-17T00:00:00"/>
    <n v="58"/>
    <n v="1151000"/>
    <s v="Yes"/>
    <n v="1"/>
    <n v="1"/>
    <x v="3"/>
  </r>
  <r>
    <n v="191"/>
    <n v="1405"/>
    <d v="2025-09-16T00:00:00"/>
    <n v="35"/>
    <n v="937000"/>
    <s v="No"/>
    <n v="36"/>
    <n v="1"/>
    <x v="3"/>
  </r>
  <r>
    <n v="132"/>
    <n v="936"/>
    <d v="2025-05-26T00:00:00"/>
    <n v="5"/>
    <n v="372000"/>
    <s v="Yes"/>
    <n v="23"/>
    <n v="3"/>
    <x v="1"/>
  </r>
  <r>
    <n v="109"/>
    <n v="790"/>
    <d v="2025-05-28T00:00:00"/>
    <n v="36"/>
    <n v="342000"/>
    <s v="No"/>
    <n v="19"/>
    <n v="4"/>
    <x v="4"/>
  </r>
  <r>
    <n v="83"/>
    <n v="595"/>
    <d v="2025-03-31T00:00:00"/>
    <n v="27"/>
    <n v="454000"/>
    <s v="Yes"/>
    <n v="14"/>
    <n v="4"/>
    <x v="4"/>
  </r>
  <r>
    <n v="283"/>
    <n v="2114"/>
    <d v="2025-12-14T00:00:00"/>
    <n v="8"/>
    <n v="343000"/>
    <s v="No"/>
    <n v="58"/>
    <n v="3"/>
    <x v="1"/>
  </r>
  <r>
    <n v="80"/>
    <n v="545"/>
    <d v="2025-04-22T00:00:00"/>
    <n v="25"/>
    <n v="304000"/>
    <s v="Yes"/>
    <n v="13"/>
    <n v="3"/>
    <x v="1"/>
  </r>
  <r>
    <n v="220"/>
    <n v="1602"/>
    <d v="2025-10-01T00:00:00"/>
    <n v="22"/>
    <n v="664000"/>
    <s v="Yes"/>
    <n v="42"/>
    <n v="2"/>
    <x v="0"/>
  </r>
  <r>
    <n v="156"/>
    <n v="1078"/>
    <d v="2025-07-21T00:00:00"/>
    <n v="24"/>
    <n v="492000"/>
    <s v="Yes"/>
    <n v="27"/>
    <n v="2"/>
    <x v="0"/>
  </r>
  <r>
    <n v="262"/>
    <n v="1950"/>
    <d v="2025-12-21T00:00:00"/>
    <n v="47"/>
    <n v="1153000"/>
    <s v="Yes"/>
    <n v="51"/>
    <n v="1"/>
    <x v="3"/>
  </r>
  <r>
    <n v="100"/>
    <n v="710"/>
    <d v="2025-05-14T00:00:00"/>
    <n v="21"/>
    <n v="385000"/>
    <s v="Yes"/>
    <n v="18"/>
    <n v="3"/>
    <x v="1"/>
  </r>
  <r>
    <n v="201"/>
    <n v="1458"/>
    <d v="2025-08-09T00:00:00"/>
    <n v="5"/>
    <n v="345000"/>
    <s v="No"/>
    <n v="38"/>
    <n v="3"/>
    <x v="1"/>
  </r>
  <r>
    <n v="49"/>
    <n v="350"/>
    <d v="2025-03-04T00:00:00"/>
    <n v="7"/>
    <n v="309000"/>
    <s v="Yes"/>
    <n v="8"/>
    <n v="3"/>
    <x v="1"/>
  </r>
  <r>
    <n v="78"/>
    <n v="541"/>
    <d v="2025-04-10T00:00:00"/>
    <n v="27"/>
    <n v="298000"/>
    <s v="Yes"/>
    <n v="13"/>
    <n v="3"/>
    <x v="1"/>
  </r>
  <r>
    <n v="8"/>
    <n v="33"/>
    <d v="2025-02-16T00:00:00"/>
    <n v="40"/>
    <n v="933000"/>
    <s v="Yes"/>
    <n v="1"/>
    <n v="1"/>
    <x v="3"/>
  </r>
  <r>
    <n v="286"/>
    <n v="2131"/>
    <d v="2026-01-19T00:00:00"/>
    <n v="48"/>
    <n v="482000"/>
    <s v="Yes"/>
    <n v="59"/>
    <n v="4"/>
    <x v="4"/>
  </r>
  <r>
    <n v="213"/>
    <n v="1575"/>
    <d v="2025-10-16T00:00:00"/>
    <n v="40"/>
    <n v="1083000"/>
    <s v="No"/>
    <n v="41"/>
    <n v="1"/>
    <x v="3"/>
  </r>
  <r>
    <n v="259"/>
    <n v="1869"/>
    <d v="2025-11-09T00:00:00"/>
    <n v="13"/>
    <n v="362000"/>
    <s v="No"/>
    <n v="48"/>
    <n v="3"/>
    <x v="1"/>
  </r>
  <r>
    <n v="38"/>
    <n v="303"/>
    <d v="2025-03-01T00:00:00"/>
    <n v="8"/>
    <n v="663000"/>
    <s v="Yes"/>
    <n v="7"/>
    <n v="2"/>
    <x v="0"/>
  </r>
  <r>
    <n v="40"/>
    <n v="314"/>
    <d v="2025-03-16T00:00:00"/>
    <n v="25"/>
    <n v="319000"/>
    <s v="Yes"/>
    <n v="8"/>
    <n v="3"/>
    <x v="1"/>
  </r>
  <r>
    <n v="44"/>
    <n v="334"/>
    <d v="2025-02-24T00:00:00"/>
    <n v="21"/>
    <n v="292000"/>
    <s v="Yes"/>
    <n v="8"/>
    <n v="3"/>
    <x v="1"/>
  </r>
  <r>
    <n v="139"/>
    <n v="972"/>
    <d v="2025-07-06T00:00:00"/>
    <n v="41"/>
    <n v="372000"/>
    <s v="Yes"/>
    <n v="24"/>
    <n v="4"/>
    <x v="4"/>
  </r>
  <r>
    <n v="68"/>
    <n v="502"/>
    <d v="2025-04-08T00:00:00"/>
    <n v="29"/>
    <n v="642000"/>
    <s v="Yes"/>
    <n v="12"/>
    <n v="2"/>
    <x v="0"/>
  </r>
  <r>
    <n v="206"/>
    <n v="1477"/>
    <d v="2025-08-20T00:00:00"/>
    <n v="16"/>
    <n v="312000"/>
    <s v="Yes"/>
    <n v="38"/>
    <n v="3"/>
    <x v="1"/>
  </r>
  <r>
    <n v="194"/>
    <n v="1426"/>
    <d v="2025-09-09T00:00:00"/>
    <n v="18"/>
    <n v="551000"/>
    <s v="Yes"/>
    <n v="37"/>
    <n v="2"/>
    <x v="0"/>
  </r>
  <r>
    <n v="64"/>
    <n v="465"/>
    <d v="2025-05-13T00:00:00"/>
    <n v="46"/>
    <n v="550000"/>
    <s v="Yes"/>
    <n v="12"/>
    <n v="2"/>
    <x v="0"/>
  </r>
  <r>
    <n v="140"/>
    <n v="986"/>
    <d v="2025-05-18T00:00:00"/>
    <n v="14"/>
    <n v="542000"/>
    <s v="Yes"/>
    <n v="25"/>
    <n v="5"/>
    <x v="2"/>
  </r>
  <r>
    <n v="18"/>
    <n v="106"/>
    <d v="2025-02-10T00:00:00"/>
    <n v="16"/>
    <n v="292000"/>
    <s v="Yes"/>
    <n v="3"/>
    <n v="3"/>
    <x v="1"/>
  </r>
  <r>
    <n v="127"/>
    <n v="910"/>
    <d v="2025-06-07T00:00:00"/>
    <n v="25"/>
    <n v="378000"/>
    <s v="Yes"/>
    <n v="23"/>
    <n v="3"/>
    <x v="1"/>
  </r>
  <r>
    <n v="118"/>
    <n v="853"/>
    <d v="2025-07-11T00:00:00"/>
    <n v="51"/>
    <n v="817000"/>
    <s v="No"/>
    <n v="21"/>
    <n v="1"/>
    <x v="3"/>
  </r>
  <r>
    <n v="13"/>
    <n v="71"/>
    <d v="2025-02-16T00:00:00"/>
    <n v="20"/>
    <n v="515000"/>
    <s v="Yes"/>
    <n v="2"/>
    <n v="2"/>
    <x v="0"/>
  </r>
  <r>
    <n v="155"/>
    <n v="1074"/>
    <d v="2025-07-18T00:00:00"/>
    <n v="36"/>
    <n v="685000"/>
    <s v="Yes"/>
    <n v="27"/>
    <n v="2"/>
    <x v="0"/>
  </r>
  <r>
    <n v="145"/>
    <n v="1002"/>
    <d v="2025-07-22T00:00:00"/>
    <n v="36"/>
    <n v="846000"/>
    <s v="Yes"/>
    <n v="26"/>
    <n v="1"/>
    <x v="3"/>
  </r>
  <r>
    <n v="81"/>
    <n v="569"/>
    <d v="2025-04-16T00:00:00"/>
    <n v="26"/>
    <n v="328000"/>
    <s v="No"/>
    <n v="13"/>
    <n v="3"/>
    <x v="1"/>
  </r>
  <r>
    <n v="22"/>
    <n v="148"/>
    <d v="2025-01-30T00:00:00"/>
    <n v="7"/>
    <n v="358000"/>
    <s v="Yes"/>
    <n v="3"/>
    <n v="3"/>
    <x v="1"/>
  </r>
  <r>
    <n v="249"/>
    <n v="1833"/>
    <d v="2025-10-27T00:00:00"/>
    <n v="20"/>
    <n v="482000"/>
    <s v="Yes"/>
    <n v="47"/>
    <n v="2"/>
    <x v="0"/>
  </r>
  <r>
    <n v="204"/>
    <n v="1464"/>
    <d v="2025-09-10T00:00:00"/>
    <n v="21"/>
    <n v="284000"/>
    <s v="Yes"/>
    <n v="38"/>
    <n v="3"/>
    <x v="1"/>
  </r>
  <r>
    <n v="257"/>
    <n v="1859"/>
    <d v="2025-10-12T00:00:00"/>
    <n v="5"/>
    <n v="335000"/>
    <s v="Yes"/>
    <n v="48"/>
    <n v="3"/>
    <x v="1"/>
  </r>
  <r>
    <n v="53"/>
    <n v="398"/>
    <d v="2025-02-12T00:00:00"/>
    <n v="9"/>
    <n v="341000"/>
    <s v="Yes"/>
    <n v="9"/>
    <n v="4"/>
    <x v="4"/>
  </r>
  <r>
    <n v="270"/>
    <n v="2008"/>
    <d v="2025-12-03T00:00:00"/>
    <n v="20"/>
    <n v="283000"/>
    <s v="Yes"/>
    <n v="53"/>
    <n v="3"/>
    <x v="1"/>
  </r>
  <r>
    <n v="11"/>
    <n v="56"/>
    <d v="2025-01-26T00:00:00"/>
    <n v="18"/>
    <n v="570000"/>
    <s v="Yes"/>
    <n v="2"/>
    <n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0">
  <r>
    <n v="1"/>
    <x v="0"/>
    <s v="LAGOS"/>
    <n v="8"/>
    <s v="2025-01"/>
    <s v="QA Engineer"/>
    <s v="Lagos"/>
  </r>
  <r>
    <n v="2"/>
    <x v="1"/>
    <s v="LAGOS"/>
    <n v="9"/>
    <s v="2025-01"/>
    <s v="Business Development Rep"/>
    <s v="Lagos"/>
  </r>
  <r>
    <n v="3"/>
    <x v="2"/>
    <s v="LAGOS"/>
    <n v="13"/>
    <s v="2025-01"/>
    <s v="Support Agent"/>
    <s v="Lagos"/>
  </r>
  <r>
    <n v="4"/>
    <x v="3"/>
    <s v="LAGOS"/>
    <n v="5"/>
    <s v="2025-01"/>
    <s v="Logistics Coordinator"/>
    <s v="Lagos"/>
  </r>
  <r>
    <n v="5"/>
    <x v="4"/>
    <s v="Port Harcourt"/>
    <n v="3"/>
    <s v="2025-01"/>
    <s v="Marketing Executive"/>
    <s v="Port Harcourt"/>
  </r>
  <r>
    <n v="6"/>
    <x v="0"/>
    <s v="Port-Harcourt"/>
    <n v="8"/>
    <s v="2025-02"/>
    <s v="QA Engineer"/>
    <s v="Port-Harcourt"/>
  </r>
  <r>
    <n v="7"/>
    <x v="1"/>
    <s v="Port Harcourt"/>
    <n v="9"/>
    <s v="2025-02"/>
    <s v="Sales Executive"/>
    <s v="Port Harcourt"/>
  </r>
  <r>
    <n v="8"/>
    <x v="2"/>
    <s v="Port-Harcourt"/>
    <n v="11"/>
    <s v="2025-02"/>
    <s v="Customer Success Rep"/>
    <s v="Port-Harcourt"/>
  </r>
  <r>
    <n v="9"/>
    <x v="3"/>
    <s v="IBADAN"/>
    <n v="5"/>
    <s v="2025-02"/>
    <s v="Operations Analyst"/>
    <s v="Ibadan"/>
  </r>
  <r>
    <n v="10"/>
    <x v="4"/>
    <s v="IBADAN"/>
    <n v="4"/>
    <s v="2025-02"/>
    <s v="Social Media Manager"/>
    <s v="Ibadan"/>
  </r>
  <r>
    <n v="11"/>
    <x v="0"/>
    <s v="Port Harcourt"/>
    <n v="6"/>
    <s v="2025-03"/>
    <s v="Software Engineer"/>
    <s v="Port Harcourt"/>
  </r>
  <r>
    <n v="12"/>
    <x v="1"/>
    <s v="abuja"/>
    <n v="7"/>
    <s v="2025-03"/>
    <s v="Sales Executive"/>
    <s v="Abuja"/>
  </r>
  <r>
    <n v="13"/>
    <x v="2"/>
    <s v="Lagos "/>
    <n v="13"/>
    <s v="2025-03"/>
    <s v="Customer Success Rep"/>
    <s v="Lagos"/>
  </r>
  <r>
    <n v="14"/>
    <x v="3"/>
    <s v="Port Harcourt"/>
    <n v="4"/>
    <s v="2025-03"/>
    <s v="Logistics Coordinator"/>
    <s v="Port Harcourt"/>
  </r>
  <r>
    <n v="15"/>
    <x v="4"/>
    <s v="Port Harcourt"/>
    <n v="3"/>
    <s v="2025-03"/>
    <s v="Social Media Manager"/>
    <s v="Port Harcourt"/>
  </r>
  <r>
    <n v="16"/>
    <x v="0"/>
    <s v="abuja"/>
    <n v="6"/>
    <s v="2025-04"/>
    <s v="Backend Developer"/>
    <s v="Abuja"/>
  </r>
  <r>
    <n v="17"/>
    <x v="1"/>
    <s v="abuja"/>
    <n v="8"/>
    <s v="2025-04"/>
    <s v="Account Manager"/>
    <s v="Abuja"/>
  </r>
  <r>
    <n v="18"/>
    <x v="2"/>
    <s v="LAGOS"/>
    <n v="11"/>
    <s v="2025-04"/>
    <s v="Support Agent"/>
    <s v="Lagos"/>
  </r>
  <r>
    <n v="19"/>
    <x v="3"/>
    <s v="IBADAN"/>
    <n v="4"/>
    <s v="2025-04"/>
    <s v="Operations Analyst"/>
    <s v="Ibadan"/>
  </r>
  <r>
    <n v="20"/>
    <x v="4"/>
    <s v="Port Harcourt"/>
    <n v="3"/>
    <s v="2025-04"/>
    <s v="Social Media Manager"/>
    <s v="Port Harcourt"/>
  </r>
  <r>
    <n v="21"/>
    <x v="0"/>
    <s v="IBADAN"/>
    <n v="6"/>
    <s v="2025-05"/>
    <s v="DevOps Engineer"/>
    <s v="Ibadan"/>
  </r>
  <r>
    <n v="22"/>
    <x v="1"/>
    <s v="Port Harcourt"/>
    <n v="7"/>
    <s v="2025-05"/>
    <s v="Business Development Rep"/>
    <s v="Port Harcourt"/>
  </r>
  <r>
    <n v="23"/>
    <x v="2"/>
    <s v="abuja"/>
    <n v="10"/>
    <s v="2025-05"/>
    <s v="Customer Success Rep"/>
    <s v="Abuja"/>
  </r>
  <r>
    <n v="24"/>
    <x v="3"/>
    <s v="LAGOS"/>
    <n v="3"/>
    <s v="2025-05"/>
    <s v="Operations Analyst"/>
    <s v="Lagos"/>
  </r>
  <r>
    <n v="25"/>
    <x v="4"/>
    <s v="IBADAN"/>
    <n v="3"/>
    <s v="2025-05"/>
    <s v="Marketing Executive"/>
    <s v="Ibadan"/>
  </r>
  <r>
    <n v="26"/>
    <x v="0"/>
    <s v="IBADAN"/>
    <n v="5"/>
    <s v="2025-06"/>
    <s v="DevOps Engineer"/>
    <s v="Ibadan"/>
  </r>
  <r>
    <n v="27"/>
    <x v="1"/>
    <s v="LAGOS"/>
    <n v="9"/>
    <s v="2025-06"/>
    <s v="Business Development Rep"/>
    <s v="Lagos"/>
  </r>
  <r>
    <n v="28"/>
    <x v="2"/>
    <s v="Port-Harcourt"/>
    <n v="11"/>
    <s v="2025-06"/>
    <s v="Support Agent"/>
    <s v="Port-Harcourt"/>
  </r>
  <r>
    <n v="29"/>
    <x v="3"/>
    <s v="abuja"/>
    <n v="3"/>
    <s v="2025-06"/>
    <s v="Operations Analyst"/>
    <s v="Abuja"/>
  </r>
  <r>
    <n v="30"/>
    <x v="4"/>
    <s v="Port Harcourt"/>
    <n v="3"/>
    <s v="2025-06"/>
    <s v="Social Media Manager"/>
    <s v="Port Harcourt"/>
  </r>
  <r>
    <n v="31"/>
    <x v="0"/>
    <s v="Port Harcourt"/>
    <n v="6"/>
    <s v="2025-07"/>
    <s v="QA Engineer"/>
    <s v="Port Harcourt"/>
  </r>
  <r>
    <n v="32"/>
    <x v="1"/>
    <s v="abuja"/>
    <n v="7"/>
    <s v="2025-07"/>
    <s v="Business Development Rep"/>
    <s v="Abuja"/>
  </r>
  <r>
    <n v="33"/>
    <x v="2"/>
    <s v="Port Harcourt"/>
    <n v="11"/>
    <s v="2025-07"/>
    <s v="Support Agent"/>
    <s v="Port Harcourt"/>
  </r>
  <r>
    <n v="34"/>
    <x v="3"/>
    <s v="Port-Harcourt"/>
    <n v="3"/>
    <s v="2025-07"/>
    <s v="Operations Analyst"/>
    <s v="Port-Harcourt"/>
  </r>
  <r>
    <n v="35"/>
    <x v="4"/>
    <s v="LAGOS"/>
    <n v="2"/>
    <s v="2025-07"/>
    <s v="Social Media Manager"/>
    <s v="Lagos"/>
  </r>
  <r>
    <n v="36"/>
    <x v="0"/>
    <s v="LAGOS"/>
    <n v="5"/>
    <s v="2025-08"/>
    <s v="QA Engineer"/>
    <s v="Lagos"/>
  </r>
  <r>
    <n v="37"/>
    <x v="1"/>
    <s v="abuja"/>
    <n v="8"/>
    <s v="2025-08"/>
    <s v="Business Development Rep"/>
    <s v="Abuja"/>
  </r>
  <r>
    <n v="38"/>
    <x v="2"/>
    <s v="IBADAN"/>
    <n v="10"/>
    <s v="2025-08"/>
    <s v="Support Agent"/>
    <s v="Ibadan"/>
  </r>
  <r>
    <n v="39"/>
    <x v="3"/>
    <s v="IBADAN"/>
    <n v="4"/>
    <s v="2025-08"/>
    <s v="Logistics Coordinator"/>
    <s v="Ibadan"/>
  </r>
  <r>
    <n v="40"/>
    <x v="4"/>
    <s v="IBADAN"/>
    <n v="3"/>
    <s v="2025-08"/>
    <s v="Marketing Executive"/>
    <s v="Ibadan"/>
  </r>
  <r>
    <n v="41"/>
    <x v="0"/>
    <s v="Port Harcourt"/>
    <n v="5"/>
    <s v="2025-09"/>
    <s v="QA Engineer"/>
    <s v="Port Harcourt"/>
  </r>
  <r>
    <n v="42"/>
    <x v="1"/>
    <s v="LAGOS"/>
    <n v="8"/>
    <s v="2025-09"/>
    <s v="Business Development Rep"/>
    <s v="Lagos"/>
  </r>
  <r>
    <n v="43"/>
    <x v="2"/>
    <s v="abuja"/>
    <n v="11"/>
    <s v="2025-09"/>
    <s v="Support Agent"/>
    <s v="Abuja"/>
  </r>
  <r>
    <n v="44"/>
    <x v="3"/>
    <s v="LAGOS"/>
    <n v="5"/>
    <s v="2025-09"/>
    <s v="Logistics Coordinator"/>
    <s v="Lagos"/>
  </r>
  <r>
    <n v="45"/>
    <x v="4"/>
    <s v="abuja"/>
    <n v="3"/>
    <s v="2025-09"/>
    <s v="Marketing Executive"/>
    <s v="Abuja"/>
  </r>
  <r>
    <n v="46"/>
    <x v="0"/>
    <s v="IBADAN"/>
    <n v="6"/>
    <s v="2025-10"/>
    <s v="Backend Developer"/>
    <s v="Ibadan"/>
  </r>
  <r>
    <n v="47"/>
    <x v="1"/>
    <s v="abuja"/>
    <n v="9"/>
    <s v="2025-10"/>
    <s v="Sales Executive"/>
    <s v="Abuja"/>
  </r>
  <r>
    <n v="48"/>
    <x v="2"/>
    <s v="Port Harcourt"/>
    <n v="10"/>
    <s v="2025-10"/>
    <s v="Customer Success Rep"/>
    <s v="Port Harcourt"/>
  </r>
  <r>
    <n v="49"/>
    <x v="3"/>
    <s v="LAGOS"/>
    <n v="4"/>
    <s v="2025-10"/>
    <s v="Operations Analyst"/>
    <s v="Lagos"/>
  </r>
  <r>
    <n v="50"/>
    <x v="4"/>
    <s v="Port Harcourt"/>
    <n v="3"/>
    <s v="2025-10"/>
    <s v="Marketing Executive"/>
    <s v="Port Harcourt"/>
  </r>
  <r>
    <n v="51"/>
    <x v="0"/>
    <s v="IBADAN"/>
    <n v="4"/>
    <s v="2025-11"/>
    <s v="Backend Developer"/>
    <s v="Ibadan"/>
  </r>
  <r>
    <n v="52"/>
    <x v="1"/>
    <s v="IBADAN"/>
    <n v="5"/>
    <s v="2025-11"/>
    <s v="Sales Executive"/>
    <s v="Ibadan"/>
  </r>
  <r>
    <n v="53"/>
    <x v="2"/>
    <s v="LAGOS"/>
    <n v="7"/>
    <s v="2025-11"/>
    <s v="Support Agent"/>
    <s v="Lagos"/>
  </r>
  <r>
    <n v="54"/>
    <x v="3"/>
    <s v="abuja"/>
    <n v="4"/>
    <s v="2025-11"/>
    <s v="Logistics Coordinator"/>
    <s v="Abuja"/>
  </r>
  <r>
    <n v="55"/>
    <x v="4"/>
    <s v="abuja"/>
    <n v="2"/>
    <s v="2025-11"/>
    <s v="Marketing Executive"/>
    <s v="Abuja"/>
  </r>
  <r>
    <n v="56"/>
    <x v="0"/>
    <s v="Lagos "/>
    <n v="3"/>
    <s v="2025-12"/>
    <s v="DevOps Engineer"/>
    <s v="Lagos"/>
  </r>
  <r>
    <n v="57"/>
    <x v="1"/>
    <s v="IBADAN"/>
    <n v="5"/>
    <s v="2025-12"/>
    <s v="Account Manager"/>
    <s v="Ibadan"/>
  </r>
  <r>
    <n v="58"/>
    <x v="2"/>
    <s v="IBADAN"/>
    <n v="5"/>
    <s v="2025-12"/>
    <s v="Support Agent"/>
    <s v="Ibadan"/>
  </r>
  <r>
    <n v="59"/>
    <x v="3"/>
    <s v="LAGOS"/>
    <n v="2"/>
    <s v="2025-12"/>
    <s v="Logistics Coordinator"/>
    <s v="Lagos"/>
  </r>
  <r>
    <n v="60"/>
    <x v="4"/>
    <s v="IBADAN"/>
    <n v="1"/>
    <s v="2025-12"/>
    <s v="Social Media Manager"/>
    <s v="Ibad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1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9" firstHeaderRow="1" firstDataRow="1" firstDataCol="1"/>
  <pivotFields count="9">
    <pivotField dataField="1" showAll="0"/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2"/>
        <item x="4"/>
        <item x="0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hire_id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8" cacheId="19" applyNumberFormats="0" applyBorderFormats="0" applyFontFormats="0" applyPatternFormats="0" applyAlignmentFormats="0" applyWidthHeightFormats="1" dataCaption="Values" updatedVersion="5" minRefreshableVersion="3" useAutoFormatting="1" rowGrandTotals="0" itemPrintTitles="1" createdVersion="5" indent="0" outline="1" outlineData="1" multipleFieldFilters="0" chartFormat="1">
  <location ref="A5:B10" firstHeaderRow="1" firstDataRow="1" firstDataCol="1"/>
  <pivotFields count="9">
    <pivotField showAll="0"/>
    <pivotField showAll="0"/>
    <pivotField numFmtId="164" showAll="0"/>
    <pivotField dataField="1" showAll="0"/>
    <pivotField showAll="0"/>
    <pivotField showAll="0"/>
    <pivotField showAll="0"/>
    <pivotField showAll="0"/>
    <pivotField axis="axisRow" showAll="0">
      <items count="6">
        <item x="1"/>
        <item x="3"/>
        <item x="2"/>
        <item x="4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Average of time_to_hire_days" fld="3" subtotal="average" baseField="8" baseItem="0"/>
  </dataFields>
  <formats count="8">
    <format dxfId="15">
      <pivotArea collapsedLevelsAreSubtotals="1" fieldPosition="0">
        <references count="1">
          <reference field="8" count="1">
            <x v="0"/>
          </reference>
        </references>
      </pivotArea>
    </format>
    <format dxfId="14">
      <pivotArea collapsedLevelsAreSubtotals="1" fieldPosition="0">
        <references count="1">
          <reference field="8" count="1">
            <x v="2"/>
          </reference>
        </references>
      </pivotArea>
    </format>
    <format dxfId="13">
      <pivotArea collapsedLevelsAreSubtotals="1" fieldPosition="0">
        <references count="1">
          <reference field="8" count="1">
            <x v="3"/>
          </reference>
        </references>
      </pivotArea>
    </format>
    <format dxfId="12">
      <pivotArea collapsedLevelsAreSubtotals="1" fieldPosition="0">
        <references count="1">
          <reference field="8" count="1">
            <x v="4"/>
          </reference>
        </references>
      </pivotArea>
    </format>
    <format dxfId="11">
      <pivotArea field="8" type="button" dataOnly="0" labelOnly="1" outline="0" axis="axisRow" fieldPosition="0"/>
    </format>
    <format dxfId="10">
      <pivotArea dataOnly="0" labelOnly="1" outline="0" axis="axisValues" fieldPosition="0"/>
    </format>
    <format dxfId="9">
      <pivotArea field="8" type="button" dataOnly="0" labelOnly="1" outline="0" axis="axisRow" fieldPosition="0"/>
    </format>
    <format dxfId="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:B7" firstHeaderRow="1" firstDataRow="1" firstDataCol="1"/>
  <pivotFields count="7"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arget_hires" fld="3" baseField="0" baseItem="0"/>
  </dataFields>
  <formats count="4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field="1" type="button" dataOnly="0" labelOnly="1" outline="0" axis="axisRow" fieldPosition="0"/>
    </format>
    <format dxfId="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candidates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departments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job_openings" connectionId="3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E8" sqref="E8"/>
    </sheetView>
  </sheetViews>
  <sheetFormatPr defaultRowHeight="15" x14ac:dyDescent="0.25"/>
  <cols>
    <col min="1" max="1" width="17.28515625" bestFit="1" customWidth="1"/>
    <col min="2" max="2" width="15.42578125" bestFit="1" customWidth="1"/>
  </cols>
  <sheetData>
    <row r="3" spans="1:2" x14ac:dyDescent="0.25">
      <c r="A3" s="10" t="s">
        <v>106</v>
      </c>
      <c r="B3" t="s">
        <v>108</v>
      </c>
    </row>
    <row r="4" spans="1:2" x14ac:dyDescent="0.25">
      <c r="A4" s="11" t="s">
        <v>58</v>
      </c>
      <c r="B4" s="12">
        <v>112</v>
      </c>
    </row>
    <row r="5" spans="1:2" x14ac:dyDescent="0.25">
      <c r="A5" s="11" t="s">
        <v>56</v>
      </c>
      <c r="B5" s="12">
        <v>45</v>
      </c>
    </row>
    <row r="6" spans="1:2" x14ac:dyDescent="0.25">
      <c r="A6" s="11" t="s">
        <v>60</v>
      </c>
      <c r="B6" s="12">
        <v>19</v>
      </c>
    </row>
    <row r="7" spans="1:2" x14ac:dyDescent="0.25">
      <c r="A7" s="11" t="s">
        <v>59</v>
      </c>
      <c r="B7" s="12">
        <v>37</v>
      </c>
    </row>
    <row r="8" spans="1:2" x14ac:dyDescent="0.25">
      <c r="A8" s="11" t="s">
        <v>57</v>
      </c>
      <c r="B8" s="12">
        <v>73</v>
      </c>
    </row>
    <row r="9" spans="1:2" x14ac:dyDescent="0.25">
      <c r="A9" s="11" t="s">
        <v>107</v>
      </c>
      <c r="B9" s="12">
        <v>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B10"/>
  <sheetViews>
    <sheetView workbookViewId="0">
      <selection activeCell="K11" sqref="K11"/>
    </sheetView>
  </sheetViews>
  <sheetFormatPr defaultRowHeight="15" x14ac:dyDescent="0.25"/>
  <cols>
    <col min="1" max="1" width="17.28515625" bestFit="1" customWidth="1"/>
    <col min="2" max="2" width="28.140625" bestFit="1" customWidth="1"/>
  </cols>
  <sheetData>
    <row r="5" spans="1:2" x14ac:dyDescent="0.25">
      <c r="A5" s="15" t="s">
        <v>106</v>
      </c>
      <c r="B5" s="16" t="s">
        <v>114</v>
      </c>
    </row>
    <row r="6" spans="1:2" x14ac:dyDescent="0.25">
      <c r="A6" s="11" t="s">
        <v>58</v>
      </c>
      <c r="B6" s="22">
        <v>14.633928571428571</v>
      </c>
    </row>
    <row r="7" spans="1:2" x14ac:dyDescent="0.25">
      <c r="A7" s="11" t="s">
        <v>56</v>
      </c>
      <c r="B7" s="12">
        <v>40.200000000000003</v>
      </c>
    </row>
    <row r="8" spans="1:2" x14ac:dyDescent="0.25">
      <c r="A8" s="11" t="s">
        <v>60</v>
      </c>
      <c r="B8" s="22">
        <v>27.315789473684209</v>
      </c>
    </row>
    <row r="9" spans="1:2" x14ac:dyDescent="0.25">
      <c r="A9" s="11" t="s">
        <v>59</v>
      </c>
      <c r="B9" s="22">
        <v>27.918918918918919</v>
      </c>
    </row>
    <row r="10" spans="1:2" x14ac:dyDescent="0.25">
      <c r="A10" s="11" t="s">
        <v>57</v>
      </c>
      <c r="B10" s="22">
        <v>24.643835616438356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7"/>
  <sheetViews>
    <sheetView topLeftCell="C1" workbookViewId="0">
      <selection activeCell="L19" sqref="L19"/>
    </sheetView>
  </sheetViews>
  <sheetFormatPr defaultRowHeight="15" x14ac:dyDescent="0.25"/>
  <cols>
    <col min="1" max="1" width="7.28515625" style="1" bestFit="1" customWidth="1"/>
    <col min="2" max="2" width="12.42578125" style="1" bestFit="1" customWidth="1"/>
    <col min="3" max="3" width="10.7109375" style="6" bestFit="1" customWidth="1"/>
    <col min="4" max="4" width="17.85546875" style="1" bestFit="1" customWidth="1"/>
    <col min="5" max="5" width="14" style="1" bestFit="1" customWidth="1"/>
    <col min="6" max="6" width="14.5703125" style="1" bestFit="1" customWidth="1"/>
    <col min="7" max="7" width="11" style="1" bestFit="1" customWidth="1"/>
    <col min="8" max="8" width="14.42578125" style="1" bestFit="1" customWidth="1"/>
    <col min="9" max="9" width="18.28515625" style="1" bestFit="1" customWidth="1"/>
    <col min="10" max="10" width="9.140625" style="1"/>
    <col min="11" max="11" width="18.140625" style="1" bestFit="1" customWidth="1"/>
    <col min="12" max="12" width="10.140625" style="1" bestFit="1" customWidth="1"/>
    <col min="13" max="13" width="9.5703125" style="1" customWidth="1"/>
    <col min="14" max="14" width="11.85546875" style="1" bestFit="1" customWidth="1"/>
    <col min="15" max="15" width="9" style="1" customWidth="1"/>
    <col min="16" max="16" width="19.42578125" style="1" bestFit="1" customWidth="1"/>
    <col min="17" max="16384" width="9.140625" style="1"/>
  </cols>
  <sheetData>
    <row r="1" spans="1:16" x14ac:dyDescent="0.25">
      <c r="A1" s="3" t="s">
        <v>0</v>
      </c>
      <c r="B1" s="3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8</v>
      </c>
      <c r="H1" s="3" t="s">
        <v>54</v>
      </c>
      <c r="I1" s="3" t="s">
        <v>55</v>
      </c>
      <c r="J1" s="3" t="s">
        <v>11</v>
      </c>
    </row>
    <row r="2" spans="1:16" x14ac:dyDescent="0.25">
      <c r="A2" s="1">
        <v>173</v>
      </c>
      <c r="B2" s="1">
        <v>1237</v>
      </c>
      <c r="C2" s="6">
        <v>45874</v>
      </c>
      <c r="D2" s="1">
        <v>26</v>
      </c>
      <c r="E2" s="1">
        <v>603000</v>
      </c>
      <c r="F2" s="1" t="s">
        <v>6</v>
      </c>
      <c r="G2" s="1">
        <f>VLOOKUP(B2,candidate!A:E,2,FALSE)</f>
        <v>32</v>
      </c>
      <c r="H2" s="1">
        <f>VLOOKUP(G2,job_openings!A:B,2,FALSE)</f>
        <v>2</v>
      </c>
      <c r="I2" s="1" t="str">
        <f>VLOOKUP(H2,departments!A:B,2,FALSE)</f>
        <v>Sales</v>
      </c>
      <c r="J2" s="1" t="str">
        <f>VLOOKUP(B2,candidate!A:E,5,FALSE)</f>
        <v>LinkedIn</v>
      </c>
    </row>
    <row r="3" spans="1:16" x14ac:dyDescent="0.25">
      <c r="A3" s="1">
        <v>136</v>
      </c>
      <c r="B3" s="1">
        <v>950</v>
      </c>
      <c r="C3" s="6">
        <v>45802</v>
      </c>
      <c r="D3" s="1">
        <v>18</v>
      </c>
      <c r="E3" s="1">
        <v>384000</v>
      </c>
      <c r="F3" s="1" t="s">
        <v>6</v>
      </c>
      <c r="G3" s="1">
        <f>VLOOKUP(B3,candidate!A:E,2,FALSE)</f>
        <v>23</v>
      </c>
      <c r="H3" s="1">
        <f>VLOOKUP(G3,job_openings!A:B,2,FALSE)</f>
        <v>3</v>
      </c>
      <c r="I3" s="1" t="str">
        <f>VLOOKUP(H3,departments!A:B,2,FALSE)</f>
        <v>Customer Support</v>
      </c>
      <c r="J3" s="1" t="str">
        <f>VLOOKUP(B3,candidate!A:E,5,FALSE)</f>
        <v>LinkedIn</v>
      </c>
      <c r="K3" s="3" t="s">
        <v>103</v>
      </c>
      <c r="L3" s="3" t="s">
        <v>104</v>
      </c>
    </row>
    <row r="4" spans="1:16" x14ac:dyDescent="0.25">
      <c r="A4" s="1">
        <v>261</v>
      </c>
      <c r="B4" s="1">
        <v>1933</v>
      </c>
      <c r="C4" s="6">
        <v>45975</v>
      </c>
      <c r="D4" s="1">
        <v>23</v>
      </c>
      <c r="E4" s="1">
        <v>468000</v>
      </c>
      <c r="F4" s="1" t="s">
        <v>6</v>
      </c>
      <c r="G4" s="1">
        <f>VLOOKUP(B4,candidate!A:E,2,FALSE)</f>
        <v>50</v>
      </c>
      <c r="H4" s="1">
        <f>VLOOKUP(G4,job_openings!A:B,2,FALSE)</f>
        <v>5</v>
      </c>
      <c r="I4" s="1" t="str">
        <f>VLOOKUP(H4,departments!A:B,2,FALSE)</f>
        <v>Marketing</v>
      </c>
      <c r="J4" s="1" t="str">
        <f>VLOOKUP(B4,candidate!A:E,5,FALSE)</f>
        <v>Walk-in</v>
      </c>
      <c r="K4" s="1" t="s">
        <v>56</v>
      </c>
      <c r="L4" s="1">
        <f>AVERAGEIF(I:I,K4,E:E)</f>
        <v>983139.53466666676</v>
      </c>
    </row>
    <row r="5" spans="1:16" x14ac:dyDescent="0.25">
      <c r="A5" s="1">
        <v>142</v>
      </c>
      <c r="B5" s="1">
        <v>995</v>
      </c>
      <c r="C5" s="6">
        <v>45818</v>
      </c>
      <c r="D5" s="1">
        <v>31</v>
      </c>
      <c r="E5" s="1">
        <v>486277.78</v>
      </c>
      <c r="F5" s="1" t="s">
        <v>6</v>
      </c>
      <c r="G5" s="1">
        <f>VLOOKUP(B5,candidate!A:E,2,FALSE)</f>
        <v>25</v>
      </c>
      <c r="H5" s="1">
        <f>VLOOKUP(G5,job_openings!A:B,2,FALSE)</f>
        <v>5</v>
      </c>
      <c r="I5" s="1" t="str">
        <f>VLOOKUP(H5,departments!A:B,2,FALSE)</f>
        <v>Marketing</v>
      </c>
      <c r="J5" s="1" t="str">
        <f>VLOOKUP(B5,candidate!A:E,5,FALSE)</f>
        <v>LinkedIn</v>
      </c>
      <c r="K5" s="1" t="s">
        <v>57</v>
      </c>
      <c r="L5" s="1">
        <f>AVERAGEIF(I:I,K5,E:E)</f>
        <v>581986.30136986298</v>
      </c>
    </row>
    <row r="6" spans="1:16" x14ac:dyDescent="0.25">
      <c r="A6" s="1">
        <v>222</v>
      </c>
      <c r="B6" s="1">
        <v>1611</v>
      </c>
      <c r="C6" s="6">
        <v>45948</v>
      </c>
      <c r="D6" s="1">
        <v>32</v>
      </c>
      <c r="E6" s="1">
        <v>541000</v>
      </c>
      <c r="F6" s="1" t="s">
        <v>6</v>
      </c>
      <c r="G6" s="1">
        <f>VLOOKUP(B6,candidate!A:E,2,FALSE)</f>
        <v>42</v>
      </c>
      <c r="H6" s="1">
        <f>VLOOKUP(G6,job_openings!A:B,2,FALSE)</f>
        <v>2</v>
      </c>
      <c r="I6" s="1" t="str">
        <f>VLOOKUP(H6,departments!A:B,2,FALSE)</f>
        <v>Sales</v>
      </c>
      <c r="J6" s="1" t="str">
        <f>VLOOKUP(B6,candidate!A:E,5,FALSE)</f>
        <v>Job Board</v>
      </c>
      <c r="K6" s="1" t="s">
        <v>58</v>
      </c>
      <c r="L6" s="1">
        <f>AVERAGEIF(I:I,K6,E:E)</f>
        <v>340765.76580357138</v>
      </c>
    </row>
    <row r="7" spans="1:16" x14ac:dyDescent="0.25">
      <c r="A7" s="1">
        <v>55</v>
      </c>
      <c r="B7" s="1">
        <v>415</v>
      </c>
      <c r="C7" s="6">
        <v>45738</v>
      </c>
      <c r="D7" s="1">
        <v>26</v>
      </c>
      <c r="E7" s="1">
        <v>393000</v>
      </c>
      <c r="F7" s="1" t="s">
        <v>6</v>
      </c>
      <c r="G7" s="1">
        <f>VLOOKUP(B7,candidate!A:E,2,FALSE)</f>
        <v>10</v>
      </c>
      <c r="H7" s="1">
        <f>VLOOKUP(G7,job_openings!A:B,2,FALSE)</f>
        <v>5</v>
      </c>
      <c r="I7" s="1" t="str">
        <f>VLOOKUP(H7,departments!A:B,2,FALSE)</f>
        <v>Marketing</v>
      </c>
      <c r="J7" s="1" t="str">
        <f>VLOOKUP(B7,candidate!A:E,5,FALSE)</f>
        <v>Referral</v>
      </c>
      <c r="K7" s="1" t="s">
        <v>59</v>
      </c>
      <c r="L7" s="1">
        <f>AVERAGEIF(I:I,K7,E:E)</f>
        <v>418810.81081081083</v>
      </c>
    </row>
    <row r="8" spans="1:16" x14ac:dyDescent="0.25">
      <c r="A8" s="1">
        <v>147</v>
      </c>
      <c r="B8" s="1">
        <v>1006</v>
      </c>
      <c r="C8" s="6">
        <v>45864</v>
      </c>
      <c r="D8" s="1">
        <v>47</v>
      </c>
      <c r="E8" s="1">
        <v>1118000</v>
      </c>
      <c r="F8" s="1" t="s">
        <v>7</v>
      </c>
      <c r="G8" s="1">
        <f>VLOOKUP(B8,candidate!A:E,2,FALSE)</f>
        <v>26</v>
      </c>
      <c r="H8" s="1">
        <f>VLOOKUP(G8,job_openings!A:B,2,FALSE)</f>
        <v>1</v>
      </c>
      <c r="I8" s="1" t="str">
        <f>VLOOKUP(H8,departments!A:B,2,FALSE)</f>
        <v>Engineering</v>
      </c>
      <c r="J8" s="1" t="str">
        <f>VLOOKUP(B8,candidate!A:E,5,FALSE)</f>
        <v>Job Board</v>
      </c>
      <c r="K8" s="1" t="s">
        <v>60</v>
      </c>
      <c r="L8" s="1">
        <f>AVERAGEIF(I:I,K8,E:E)</f>
        <v>486277.77789473691</v>
      </c>
    </row>
    <row r="9" spans="1:16" x14ac:dyDescent="0.25">
      <c r="A9" s="1">
        <v>15</v>
      </c>
      <c r="B9" s="1">
        <v>90</v>
      </c>
      <c r="C9" s="6">
        <v>45684</v>
      </c>
      <c r="D9" s="1">
        <v>12</v>
      </c>
      <c r="E9" s="1">
        <v>346000</v>
      </c>
      <c r="F9" s="1" t="s">
        <v>6</v>
      </c>
      <c r="G9" s="1">
        <f>VLOOKUP(B9,candidate!A:E,2,FALSE)</f>
        <v>3</v>
      </c>
      <c r="H9" s="1">
        <f>VLOOKUP(G9,job_openings!A:B,2,FALSE)</f>
        <v>3</v>
      </c>
      <c r="I9" s="1" t="str">
        <f>VLOOKUP(H9,departments!A:B,2,FALSE)</f>
        <v>Customer Support</v>
      </c>
      <c r="J9" s="1" t="str">
        <f>VLOOKUP(B9,candidate!A:E,5,FALSE)</f>
        <v>Job Board</v>
      </c>
    </row>
    <row r="10" spans="1:16" x14ac:dyDescent="0.25">
      <c r="A10" s="1">
        <v>112</v>
      </c>
      <c r="B10" s="1">
        <v>806</v>
      </c>
      <c r="C10" s="6">
        <v>45783</v>
      </c>
      <c r="D10" s="1">
        <v>32</v>
      </c>
      <c r="E10" s="1">
        <v>503000</v>
      </c>
      <c r="F10" s="1" t="s">
        <v>6</v>
      </c>
      <c r="G10" s="1">
        <f>VLOOKUP(B10,candidate!A:E,2,FALSE)</f>
        <v>20</v>
      </c>
      <c r="H10" s="1">
        <f>VLOOKUP(G10,job_openings!A:B,2,FALSE)</f>
        <v>5</v>
      </c>
      <c r="I10" s="1" t="str">
        <f>VLOOKUP(H10,departments!A:B,2,FALSE)</f>
        <v>Marketing</v>
      </c>
      <c r="J10" s="1" t="str">
        <f>VLOOKUP(B10,candidate!A:E,5,FALSE)</f>
        <v>Job Board</v>
      </c>
    </row>
    <row r="11" spans="1:16" x14ac:dyDescent="0.25">
      <c r="A11" s="1">
        <v>211</v>
      </c>
      <c r="B11" s="1">
        <v>1541</v>
      </c>
      <c r="C11" s="6">
        <v>45918</v>
      </c>
      <c r="D11" s="1">
        <v>34</v>
      </c>
      <c r="E11" s="1">
        <v>453000</v>
      </c>
      <c r="F11" s="1" t="s">
        <v>6</v>
      </c>
      <c r="G11" s="1">
        <f>VLOOKUP(B11,candidate!A:E,2,FALSE)</f>
        <v>39</v>
      </c>
      <c r="H11" s="1">
        <f>VLOOKUP(G11,job_openings!A:B,2,FALSE)</f>
        <v>4</v>
      </c>
      <c r="I11" s="1" t="str">
        <f>VLOOKUP(H11,departments!A:B,2,FALSE)</f>
        <v>Operations</v>
      </c>
      <c r="J11" s="1" t="str">
        <f>VLOOKUP(B11,candidate!A:E,5,FALSE)</f>
        <v>Referral</v>
      </c>
      <c r="M11" s="3" t="s">
        <v>11</v>
      </c>
      <c r="N11" s="3" t="s">
        <v>115</v>
      </c>
      <c r="O11" s="3" t="s">
        <v>116</v>
      </c>
      <c r="P11" s="3" t="s">
        <v>117</v>
      </c>
    </row>
    <row r="12" spans="1:16" x14ac:dyDescent="0.25">
      <c r="A12" s="1">
        <v>107</v>
      </c>
      <c r="B12" s="1">
        <v>740</v>
      </c>
      <c r="C12" s="6">
        <v>45781</v>
      </c>
      <c r="D12" s="1">
        <v>6</v>
      </c>
      <c r="E12" s="1">
        <v>388000</v>
      </c>
      <c r="F12" s="1" t="s">
        <v>6</v>
      </c>
      <c r="G12" s="1">
        <f>VLOOKUP(B12,candidate!A:E,2,FALSE)</f>
        <v>18</v>
      </c>
      <c r="H12" s="1">
        <f>VLOOKUP(G12,job_openings!A:B,2,FALSE)</f>
        <v>3</v>
      </c>
      <c r="I12" s="1" t="str">
        <f>VLOOKUP(H12,departments!A:B,2,FALSE)</f>
        <v>Customer Support</v>
      </c>
      <c r="J12" s="1" t="str">
        <f>VLOOKUP(B12,candidate!A:E,5,FALSE)</f>
        <v>Job Board</v>
      </c>
      <c r="M12" s="1" t="s">
        <v>13</v>
      </c>
      <c r="N12" s="1">
        <f>COUNTIF(J:J,"Referral")</f>
        <v>86</v>
      </c>
      <c r="O12" s="1">
        <f>COUNTIFS(J:J,"Referral",F:F,"Yes")</f>
        <v>82</v>
      </c>
      <c r="P12" s="23">
        <f>O12/N12*100</f>
        <v>95.348837209302332</v>
      </c>
    </row>
    <row r="13" spans="1:16" x14ac:dyDescent="0.25">
      <c r="A13" s="1">
        <v>138</v>
      </c>
      <c r="B13" s="1">
        <v>970</v>
      </c>
      <c r="C13" s="6">
        <v>45821</v>
      </c>
      <c r="D13" s="1">
        <v>31</v>
      </c>
      <c r="E13" s="1">
        <v>381000</v>
      </c>
      <c r="F13" s="1" t="s">
        <v>6</v>
      </c>
      <c r="G13" s="1">
        <f>VLOOKUP(B13,candidate!A:E,2,FALSE)</f>
        <v>24</v>
      </c>
      <c r="H13" s="1">
        <f>VLOOKUP(G13,job_openings!A:B,2,FALSE)</f>
        <v>4</v>
      </c>
      <c r="I13" s="1" t="str">
        <f>VLOOKUP(H13,departments!A:B,2,FALSE)</f>
        <v>Operations</v>
      </c>
      <c r="J13" s="1" t="str">
        <f>VLOOKUP(B13,candidate!A:E,5,FALSE)</f>
        <v>Referral</v>
      </c>
      <c r="M13" s="1" t="s">
        <v>118</v>
      </c>
      <c r="N13" s="1">
        <f>COUNTIF(J:J,"Linkedin")</f>
        <v>95</v>
      </c>
      <c r="O13" s="1">
        <f>COUNTIFS(J:J,"Linkedin",F:F,"Yes")</f>
        <v>78</v>
      </c>
      <c r="P13" s="23">
        <f t="shared" ref="P13:P15" si="0">O13/N13*100</f>
        <v>82.10526315789474</v>
      </c>
    </row>
    <row r="14" spans="1:16" x14ac:dyDescent="0.25">
      <c r="A14" s="1">
        <v>216</v>
      </c>
      <c r="B14" s="1">
        <v>1581</v>
      </c>
      <c r="C14" s="6">
        <v>45953</v>
      </c>
      <c r="D14" s="1">
        <v>43</v>
      </c>
      <c r="E14" s="1">
        <v>1118000</v>
      </c>
      <c r="F14" s="1" t="s">
        <v>6</v>
      </c>
      <c r="G14" s="1">
        <f>VLOOKUP(B14,candidate!A:E,2,FALSE)</f>
        <v>41</v>
      </c>
      <c r="H14" s="1">
        <f>VLOOKUP(G14,job_openings!A:B,2,FALSE)</f>
        <v>1</v>
      </c>
      <c r="I14" s="1" t="str">
        <f>VLOOKUP(H14,departments!A:B,2,FALSE)</f>
        <v>Engineering</v>
      </c>
      <c r="J14" s="1" t="str">
        <f>VLOOKUP(B14,candidate!A:E,5,FALSE)</f>
        <v>Referral</v>
      </c>
      <c r="M14" s="1" t="s">
        <v>18</v>
      </c>
      <c r="N14" s="1">
        <f>COUNTIF(J:J,"Job Board")</f>
        <v>83</v>
      </c>
      <c r="O14" s="1">
        <f>COUNTIFS(J:J,"Job Board",F:F,"Yes")</f>
        <v>55</v>
      </c>
      <c r="P14" s="23">
        <f t="shared" si="0"/>
        <v>66.265060240963862</v>
      </c>
    </row>
    <row r="15" spans="1:16" x14ac:dyDescent="0.25">
      <c r="A15" s="1">
        <v>258</v>
      </c>
      <c r="B15" s="1">
        <v>1866</v>
      </c>
      <c r="C15" s="6">
        <v>45952</v>
      </c>
      <c r="D15" s="1">
        <v>14</v>
      </c>
      <c r="E15" s="1">
        <v>353000</v>
      </c>
      <c r="F15" s="1" t="s">
        <v>6</v>
      </c>
      <c r="G15" s="1">
        <f>VLOOKUP(B15,candidate!A:E,2,FALSE)</f>
        <v>48</v>
      </c>
      <c r="H15" s="1">
        <f>VLOOKUP(G15,job_openings!A:B,2,FALSE)</f>
        <v>3</v>
      </c>
      <c r="I15" s="1" t="str">
        <f>VLOOKUP(H15,departments!A:B,2,FALSE)</f>
        <v>Customer Support</v>
      </c>
      <c r="J15" s="1" t="str">
        <f>VLOOKUP(B15,candidate!A:E,5,FALSE)</f>
        <v>Referral</v>
      </c>
      <c r="M15" s="1" t="s">
        <v>14</v>
      </c>
      <c r="N15" s="1">
        <f>COUNTIF(J:J,"Walk-in")</f>
        <v>22</v>
      </c>
      <c r="O15" s="1">
        <f>COUNTIFS(J:J,"Walk-in",F:F,"Yes")</f>
        <v>14</v>
      </c>
      <c r="P15" s="23">
        <f t="shared" si="0"/>
        <v>63.636363636363633</v>
      </c>
    </row>
    <row r="16" spans="1:16" x14ac:dyDescent="0.25">
      <c r="A16" s="1">
        <v>229</v>
      </c>
      <c r="B16" s="1">
        <v>1647</v>
      </c>
      <c r="C16" s="6">
        <v>45947</v>
      </c>
      <c r="D16" s="1">
        <v>19</v>
      </c>
      <c r="E16" s="1">
        <v>320000</v>
      </c>
      <c r="F16" s="1" t="s">
        <v>7</v>
      </c>
      <c r="G16" s="1">
        <f>VLOOKUP(B16,candidate!A:E,2,FALSE)</f>
        <v>43</v>
      </c>
      <c r="H16" s="1">
        <f>VLOOKUP(G16,job_openings!A:B,2,FALSE)</f>
        <v>3</v>
      </c>
      <c r="I16" s="1" t="str">
        <f>VLOOKUP(H16,departments!A:B,2,FALSE)</f>
        <v>Customer Support</v>
      </c>
      <c r="J16" s="1" t="str">
        <f>VLOOKUP(B16,candidate!A:E,5,FALSE)</f>
        <v>LinkedIn</v>
      </c>
    </row>
    <row r="17" spans="1:10" x14ac:dyDescent="0.25">
      <c r="A17" s="1">
        <v>214</v>
      </c>
      <c r="B17" s="1">
        <v>1577</v>
      </c>
      <c r="C17" s="6">
        <v>45941</v>
      </c>
      <c r="D17" s="1">
        <v>35</v>
      </c>
      <c r="E17" s="1">
        <v>906000</v>
      </c>
      <c r="F17" s="1" t="s">
        <v>6</v>
      </c>
      <c r="G17" s="1">
        <f>VLOOKUP(B17,candidate!A:E,2,FALSE)</f>
        <v>41</v>
      </c>
      <c r="H17" s="1">
        <f>VLOOKUP(G17,job_openings!A:B,2,FALSE)</f>
        <v>1</v>
      </c>
      <c r="I17" s="1" t="str">
        <f>VLOOKUP(H17,departments!A:B,2,FALSE)</f>
        <v>Engineering</v>
      </c>
      <c r="J17" s="1" t="str">
        <f>VLOOKUP(B17,candidate!A:E,5,FALSE)</f>
        <v>Referral</v>
      </c>
    </row>
    <row r="18" spans="1:10" x14ac:dyDescent="0.25">
      <c r="A18" s="1">
        <v>164</v>
      </c>
      <c r="B18" s="1">
        <v>1177</v>
      </c>
      <c r="C18" s="6">
        <v>45857</v>
      </c>
      <c r="D18" s="1">
        <v>44</v>
      </c>
      <c r="E18" s="1">
        <v>538000</v>
      </c>
      <c r="F18" s="1" t="s">
        <v>6</v>
      </c>
      <c r="G18" s="1">
        <f>VLOOKUP(B18,candidate!A:E,2,FALSE)</f>
        <v>30</v>
      </c>
      <c r="H18" s="1">
        <f>VLOOKUP(G18,job_openings!A:B,2,FALSE)</f>
        <v>5</v>
      </c>
      <c r="I18" s="1" t="str">
        <f>VLOOKUP(H18,departments!A:B,2,FALSE)</f>
        <v>Marketing</v>
      </c>
      <c r="J18" s="1" t="str">
        <f>VLOOKUP(B18,candidate!A:E,5,FALSE)</f>
        <v>Referral</v>
      </c>
    </row>
    <row r="19" spans="1:10" x14ac:dyDescent="0.25">
      <c r="A19" s="1">
        <v>46</v>
      </c>
      <c r="B19" s="1">
        <v>340</v>
      </c>
      <c r="C19" s="6">
        <v>45711</v>
      </c>
      <c r="D19" s="1">
        <v>9</v>
      </c>
      <c r="E19" s="1">
        <v>312000</v>
      </c>
      <c r="F19" s="1" t="s">
        <v>6</v>
      </c>
      <c r="G19" s="1">
        <f>VLOOKUP(B19,candidate!A:E,2,FALSE)</f>
        <v>8</v>
      </c>
      <c r="H19" s="1">
        <f>VLOOKUP(G19,job_openings!A:B,2,FALSE)</f>
        <v>3</v>
      </c>
      <c r="I19" s="1" t="str">
        <f>VLOOKUP(H19,departments!A:B,2,FALSE)</f>
        <v>Customer Support</v>
      </c>
      <c r="J19" s="1" t="str">
        <f>VLOOKUP(B19,candidate!A:E,5,FALSE)</f>
        <v>LinkedIn</v>
      </c>
    </row>
    <row r="20" spans="1:10" x14ac:dyDescent="0.25">
      <c r="A20" s="1">
        <v>224</v>
      </c>
      <c r="B20" s="1">
        <v>1618</v>
      </c>
      <c r="C20" s="6">
        <v>45944</v>
      </c>
      <c r="D20" s="1">
        <v>27</v>
      </c>
      <c r="E20" s="1">
        <v>684000</v>
      </c>
      <c r="F20" s="1" t="s">
        <v>6</v>
      </c>
      <c r="G20" s="1">
        <f>VLOOKUP(B20,candidate!A:E,2,FALSE)</f>
        <v>42</v>
      </c>
      <c r="H20" s="1">
        <f>VLOOKUP(G20,job_openings!A:B,2,FALSE)</f>
        <v>2</v>
      </c>
      <c r="I20" s="1" t="str">
        <f>VLOOKUP(H20,departments!A:B,2,FALSE)</f>
        <v>Sales</v>
      </c>
      <c r="J20" s="1" t="str">
        <f>VLOOKUP(B20,candidate!A:E,5,FALSE)</f>
        <v>Walk-in</v>
      </c>
    </row>
    <row r="21" spans="1:10" x14ac:dyDescent="0.25">
      <c r="A21" s="1">
        <v>208</v>
      </c>
      <c r="B21" s="1">
        <v>1517</v>
      </c>
      <c r="C21" s="6">
        <v>45922</v>
      </c>
      <c r="D21" s="1">
        <v>32</v>
      </c>
      <c r="E21" s="1">
        <v>382000</v>
      </c>
      <c r="F21" s="1" t="s">
        <v>6</v>
      </c>
      <c r="G21" s="1">
        <f>VLOOKUP(B21,candidate!A:E,2,FALSE)</f>
        <v>39</v>
      </c>
      <c r="H21" s="1">
        <f>VLOOKUP(G21,job_openings!A:B,2,FALSE)</f>
        <v>4</v>
      </c>
      <c r="I21" s="1" t="str">
        <f>VLOOKUP(H21,departments!A:B,2,FALSE)</f>
        <v>Operations</v>
      </c>
      <c r="J21" s="1" t="str">
        <f>VLOOKUP(B21,candidate!A:E,5,FALSE)</f>
        <v>Referral</v>
      </c>
    </row>
    <row r="22" spans="1:10" x14ac:dyDescent="0.25">
      <c r="A22" s="1">
        <v>74</v>
      </c>
      <c r="B22" s="1">
        <v>519</v>
      </c>
      <c r="C22" s="6">
        <v>45739</v>
      </c>
      <c r="D22" s="1">
        <v>22</v>
      </c>
      <c r="E22" s="1">
        <v>376000</v>
      </c>
      <c r="F22" s="1" t="s">
        <v>6</v>
      </c>
      <c r="G22" s="1">
        <f>VLOOKUP(B22,candidate!A:E,2,FALSE)</f>
        <v>13</v>
      </c>
      <c r="H22" s="1">
        <f>VLOOKUP(G22,job_openings!A:B,2,FALSE)</f>
        <v>3</v>
      </c>
      <c r="I22" s="1" t="str">
        <f>VLOOKUP(H22,departments!A:B,2,FALSE)</f>
        <v>Customer Support</v>
      </c>
      <c r="J22" s="1" t="str">
        <f>VLOOKUP(B22,candidate!A:E,5,FALSE)</f>
        <v>Job Board</v>
      </c>
    </row>
    <row r="23" spans="1:10" x14ac:dyDescent="0.25">
      <c r="A23" s="1">
        <v>184</v>
      </c>
      <c r="B23" s="1">
        <v>1302</v>
      </c>
      <c r="C23" s="6">
        <v>45854</v>
      </c>
      <c r="D23" s="1">
        <v>15</v>
      </c>
      <c r="E23" s="1">
        <v>397000</v>
      </c>
      <c r="F23" s="1" t="s">
        <v>6</v>
      </c>
      <c r="G23" s="1">
        <f>VLOOKUP(B23,candidate!A:E,2,FALSE)</f>
        <v>33</v>
      </c>
      <c r="H23" s="1">
        <f>VLOOKUP(G23,job_openings!A:B,2,FALSE)</f>
        <v>3</v>
      </c>
      <c r="I23" s="1" t="str">
        <f>VLOOKUP(H23,departments!A:B,2,FALSE)</f>
        <v>Customer Support</v>
      </c>
      <c r="J23" s="1" t="str">
        <f>VLOOKUP(B23,candidate!A:E,5,FALSE)</f>
        <v>LinkedIn</v>
      </c>
    </row>
    <row r="24" spans="1:10" x14ac:dyDescent="0.25">
      <c r="A24" s="1">
        <v>246</v>
      </c>
      <c r="B24" s="1">
        <v>1823</v>
      </c>
      <c r="C24" s="6">
        <v>45953</v>
      </c>
      <c r="D24" s="1">
        <v>17</v>
      </c>
      <c r="E24" s="1">
        <v>515000</v>
      </c>
      <c r="F24" s="1" t="s">
        <v>6</v>
      </c>
      <c r="G24" s="1">
        <f>VLOOKUP(B24,candidate!A:E,2,FALSE)</f>
        <v>47</v>
      </c>
      <c r="H24" s="1">
        <f>VLOOKUP(G24,job_openings!A:B,2,FALSE)</f>
        <v>2</v>
      </c>
      <c r="I24" s="1" t="str">
        <f>VLOOKUP(H24,departments!A:B,2,FALSE)</f>
        <v>Sales</v>
      </c>
      <c r="J24" s="1" t="str">
        <f>VLOOKUP(B24,candidate!A:E,5,FALSE)</f>
        <v>Referral</v>
      </c>
    </row>
    <row r="25" spans="1:10" x14ac:dyDescent="0.25">
      <c r="A25" s="1">
        <v>239</v>
      </c>
      <c r="B25" s="1">
        <v>1734</v>
      </c>
      <c r="C25" s="6">
        <v>45936</v>
      </c>
      <c r="D25" s="1">
        <v>26</v>
      </c>
      <c r="E25" s="1">
        <v>421000</v>
      </c>
      <c r="F25" s="1" t="s">
        <v>7</v>
      </c>
      <c r="G25" s="1">
        <f>VLOOKUP(B25,candidate!A:E,2,FALSE)</f>
        <v>44</v>
      </c>
      <c r="H25" s="1">
        <f>VLOOKUP(G25,job_openings!A:B,2,FALSE)</f>
        <v>4</v>
      </c>
      <c r="I25" s="1" t="str">
        <f>VLOOKUP(H25,departments!A:B,2,FALSE)</f>
        <v>Operations</v>
      </c>
      <c r="J25" s="1" t="str">
        <f>VLOOKUP(B25,candidate!A:E,5,FALSE)</f>
        <v>LinkedIn</v>
      </c>
    </row>
    <row r="26" spans="1:10" x14ac:dyDescent="0.25">
      <c r="A26" s="1">
        <v>179</v>
      </c>
      <c r="B26" s="1">
        <v>1281</v>
      </c>
      <c r="C26" s="6">
        <v>45865</v>
      </c>
      <c r="D26" s="1">
        <v>12</v>
      </c>
      <c r="E26" s="1">
        <v>335000</v>
      </c>
      <c r="F26" s="1" t="s">
        <v>6</v>
      </c>
      <c r="G26" s="1">
        <f>VLOOKUP(B26,candidate!A:E,2,FALSE)</f>
        <v>33</v>
      </c>
      <c r="H26" s="1">
        <f>VLOOKUP(G26,job_openings!A:B,2,FALSE)</f>
        <v>3</v>
      </c>
      <c r="I26" s="1" t="str">
        <f>VLOOKUP(H26,departments!A:B,2,FALSE)</f>
        <v>Customer Support</v>
      </c>
      <c r="J26" s="1" t="str">
        <f>VLOOKUP(B26,candidate!A:E,5,FALSE)</f>
        <v>Job Board</v>
      </c>
    </row>
    <row r="27" spans="1:10" x14ac:dyDescent="0.25">
      <c r="A27" s="1">
        <v>218</v>
      </c>
      <c r="B27" s="1">
        <v>1591</v>
      </c>
      <c r="C27" s="6">
        <v>45952</v>
      </c>
      <c r="D27" s="1">
        <v>36</v>
      </c>
      <c r="E27" s="1">
        <v>594000</v>
      </c>
      <c r="F27" s="1" t="s">
        <v>6</v>
      </c>
      <c r="G27" s="1">
        <f>VLOOKUP(B27,candidate!A:E,2,FALSE)</f>
        <v>42</v>
      </c>
      <c r="H27" s="1">
        <f>VLOOKUP(G27,job_openings!A:B,2,FALSE)</f>
        <v>2</v>
      </c>
      <c r="I27" s="1" t="str">
        <f>VLOOKUP(H27,departments!A:B,2,FALSE)</f>
        <v>Sales</v>
      </c>
      <c r="J27" s="1" t="str">
        <f>VLOOKUP(B27,candidate!A:E,5,FALSE)</f>
        <v>Referral</v>
      </c>
    </row>
    <row r="28" spans="1:10" x14ac:dyDescent="0.25">
      <c r="A28" s="1">
        <v>232</v>
      </c>
      <c r="B28" s="1">
        <v>1656</v>
      </c>
      <c r="C28" s="6">
        <v>45939</v>
      </c>
      <c r="D28" s="1">
        <v>15</v>
      </c>
      <c r="E28" s="1">
        <v>275000</v>
      </c>
      <c r="F28" s="1" t="s">
        <v>6</v>
      </c>
      <c r="G28" s="1">
        <f>VLOOKUP(B28,candidate!A:E,2,FALSE)</f>
        <v>43</v>
      </c>
      <c r="H28" s="1">
        <f>VLOOKUP(G28,job_openings!A:B,2,FALSE)</f>
        <v>3</v>
      </c>
      <c r="I28" s="1" t="str">
        <f>VLOOKUP(H28,departments!A:B,2,FALSE)</f>
        <v>Customer Support</v>
      </c>
      <c r="J28" s="1" t="str">
        <f>VLOOKUP(B28,candidate!A:E,5,FALSE)</f>
        <v>LinkedIn</v>
      </c>
    </row>
    <row r="29" spans="1:10" x14ac:dyDescent="0.25">
      <c r="A29" s="1">
        <v>205</v>
      </c>
      <c r="B29" s="1">
        <v>1473</v>
      </c>
      <c r="C29" s="6">
        <v>45897</v>
      </c>
      <c r="D29" s="1">
        <v>9</v>
      </c>
      <c r="E29" s="1">
        <v>368000</v>
      </c>
      <c r="F29" s="1" t="s">
        <v>7</v>
      </c>
      <c r="G29" s="1">
        <f>VLOOKUP(B29,candidate!A:E,2,FALSE)</f>
        <v>38</v>
      </c>
      <c r="H29" s="1">
        <f>VLOOKUP(G29,job_openings!A:B,2,FALSE)</f>
        <v>3</v>
      </c>
      <c r="I29" s="1" t="str">
        <f>VLOOKUP(H29,departments!A:B,2,FALSE)</f>
        <v>Customer Support</v>
      </c>
      <c r="J29" s="1" t="str">
        <f>VLOOKUP(B29,candidate!A:E,5,FALSE)</f>
        <v>Job Board</v>
      </c>
    </row>
    <row r="30" spans="1:10" x14ac:dyDescent="0.25">
      <c r="A30" s="1">
        <v>85</v>
      </c>
      <c r="B30" s="1">
        <v>597</v>
      </c>
      <c r="C30" s="6">
        <v>45778</v>
      </c>
      <c r="D30" s="1">
        <v>43</v>
      </c>
      <c r="E30" s="1">
        <v>342000</v>
      </c>
      <c r="F30" s="1" t="s">
        <v>6</v>
      </c>
      <c r="G30" s="1">
        <f>VLOOKUP(B30,candidate!A:E,2,FALSE)</f>
        <v>14</v>
      </c>
      <c r="H30" s="1">
        <f>VLOOKUP(G30,job_openings!A:B,2,FALSE)</f>
        <v>4</v>
      </c>
      <c r="I30" s="1" t="str">
        <f>VLOOKUP(H30,departments!A:B,2,FALSE)</f>
        <v>Operations</v>
      </c>
      <c r="J30" s="1" t="str">
        <f>VLOOKUP(B30,candidate!A:E,5,FALSE)</f>
        <v>Job Board</v>
      </c>
    </row>
    <row r="31" spans="1:10" x14ac:dyDescent="0.25">
      <c r="A31" s="1">
        <v>223</v>
      </c>
      <c r="B31" s="1">
        <v>1615</v>
      </c>
      <c r="C31" s="6">
        <v>45940</v>
      </c>
      <c r="D31" s="1">
        <v>19</v>
      </c>
      <c r="E31" s="1">
        <v>644000</v>
      </c>
      <c r="F31" s="1" t="s">
        <v>6</v>
      </c>
      <c r="G31" s="1">
        <f>VLOOKUP(B31,candidate!A:E,2,FALSE)</f>
        <v>42</v>
      </c>
      <c r="H31" s="1">
        <f>VLOOKUP(G31,job_openings!A:B,2,FALSE)</f>
        <v>2</v>
      </c>
      <c r="I31" s="1" t="str">
        <f>VLOOKUP(H31,departments!A:B,2,FALSE)</f>
        <v>Sales</v>
      </c>
      <c r="J31" s="1" t="str">
        <f>VLOOKUP(B31,candidate!A:E,5,FALSE)</f>
        <v>Job Board</v>
      </c>
    </row>
    <row r="32" spans="1:10" x14ac:dyDescent="0.25">
      <c r="A32" s="1">
        <v>161</v>
      </c>
      <c r="B32" s="1">
        <v>1157</v>
      </c>
      <c r="C32" s="6">
        <v>45860</v>
      </c>
      <c r="D32" s="1">
        <v>37</v>
      </c>
      <c r="E32" s="1">
        <v>406000</v>
      </c>
      <c r="F32" s="1" t="s">
        <v>6</v>
      </c>
      <c r="G32" s="1">
        <f>VLOOKUP(B32,candidate!A:E,2,FALSE)</f>
        <v>29</v>
      </c>
      <c r="H32" s="1">
        <f>VLOOKUP(G32,job_openings!A:B,2,FALSE)</f>
        <v>4</v>
      </c>
      <c r="I32" s="1" t="str">
        <f>VLOOKUP(H32,departments!A:B,2,FALSE)</f>
        <v>Operations</v>
      </c>
      <c r="J32" s="1" t="str">
        <f>VLOOKUP(B32,candidate!A:E,5,FALSE)</f>
        <v>Job Board</v>
      </c>
    </row>
    <row r="33" spans="1:10" x14ac:dyDescent="0.25">
      <c r="A33" s="1">
        <v>89</v>
      </c>
      <c r="B33" s="1">
        <v>653</v>
      </c>
      <c r="C33" s="6">
        <v>45797</v>
      </c>
      <c r="D33" s="1">
        <v>34</v>
      </c>
      <c r="E33" s="1">
        <v>540000</v>
      </c>
      <c r="F33" s="1" t="s">
        <v>6</v>
      </c>
      <c r="G33" s="1">
        <f>VLOOKUP(B33,candidate!A:E,2,FALSE)</f>
        <v>17</v>
      </c>
      <c r="H33" s="1">
        <f>VLOOKUP(G33,job_openings!A:B,2,FALSE)</f>
        <v>2</v>
      </c>
      <c r="I33" s="1" t="str">
        <f>VLOOKUP(H33,departments!A:B,2,FALSE)</f>
        <v>Sales</v>
      </c>
      <c r="J33" s="1" t="str">
        <f>VLOOKUP(B33,candidate!A:E,5,FALSE)</f>
        <v>Referral</v>
      </c>
    </row>
    <row r="34" spans="1:10" x14ac:dyDescent="0.25">
      <c r="A34" s="1">
        <v>282</v>
      </c>
      <c r="B34" s="1">
        <v>2111</v>
      </c>
      <c r="C34" s="6">
        <v>46013</v>
      </c>
      <c r="D34" s="1">
        <v>16</v>
      </c>
      <c r="E34" s="1">
        <v>393000</v>
      </c>
      <c r="F34" s="1" t="s">
        <v>6</v>
      </c>
      <c r="G34" s="1">
        <f>VLOOKUP(B34,candidate!A:E,2,FALSE)</f>
        <v>58</v>
      </c>
      <c r="H34" s="1">
        <f>VLOOKUP(G34,job_openings!A:B,2,FALSE)</f>
        <v>3</v>
      </c>
      <c r="I34" s="1" t="str">
        <f>VLOOKUP(H34,departments!A:B,2,FALSE)</f>
        <v>Customer Support</v>
      </c>
      <c r="J34" s="1" t="str">
        <f>VLOOKUP(B34,candidate!A:E,5,FALSE)</f>
        <v>LinkedIn</v>
      </c>
    </row>
    <row r="35" spans="1:10" x14ac:dyDescent="0.25">
      <c r="A35" s="1">
        <v>66</v>
      </c>
      <c r="B35" s="1">
        <v>488</v>
      </c>
      <c r="C35" s="6">
        <v>45752</v>
      </c>
      <c r="D35" s="1">
        <v>22</v>
      </c>
      <c r="E35" s="1">
        <v>667000</v>
      </c>
      <c r="F35" s="1" t="s">
        <v>7</v>
      </c>
      <c r="G35" s="1">
        <f>VLOOKUP(B35,candidate!A:E,2,FALSE)</f>
        <v>12</v>
      </c>
      <c r="H35" s="1">
        <f>VLOOKUP(G35,job_openings!A:B,2,FALSE)</f>
        <v>2</v>
      </c>
      <c r="I35" s="1" t="str">
        <f>VLOOKUP(H35,departments!A:B,2,FALSE)</f>
        <v>Sales</v>
      </c>
      <c r="J35" s="1" t="str">
        <f>VLOOKUP(B35,candidate!A:E,5,FALSE)</f>
        <v>LinkedIn</v>
      </c>
    </row>
    <row r="36" spans="1:10" x14ac:dyDescent="0.25">
      <c r="A36" s="1">
        <v>34</v>
      </c>
      <c r="B36" s="1">
        <v>277</v>
      </c>
      <c r="C36" s="6">
        <v>45703</v>
      </c>
      <c r="D36" s="1">
        <v>10</v>
      </c>
      <c r="E36" s="1">
        <v>549000</v>
      </c>
      <c r="F36" s="1" t="s">
        <v>7</v>
      </c>
      <c r="G36" s="1">
        <f>VLOOKUP(B36,candidate!A:E,2,FALSE)</f>
        <v>7</v>
      </c>
      <c r="H36" s="1">
        <f>VLOOKUP(G36,job_openings!A:B,2,FALSE)</f>
        <v>2</v>
      </c>
      <c r="I36" s="1" t="str">
        <f>VLOOKUP(H36,departments!A:B,2,FALSE)</f>
        <v>Sales</v>
      </c>
      <c r="J36" s="1" t="str">
        <f>VLOOKUP(B36,candidate!A:E,5,FALSE)</f>
        <v>Job Board</v>
      </c>
    </row>
    <row r="37" spans="1:10" x14ac:dyDescent="0.25">
      <c r="A37" s="1">
        <v>244</v>
      </c>
      <c r="B37" s="1">
        <v>1809</v>
      </c>
      <c r="C37" s="6">
        <v>45967</v>
      </c>
      <c r="D37" s="1">
        <v>24</v>
      </c>
      <c r="E37" s="1">
        <v>554000</v>
      </c>
      <c r="F37" s="1" t="s">
        <v>7</v>
      </c>
      <c r="G37" s="1">
        <f>VLOOKUP(B37,candidate!A:E,2,FALSE)</f>
        <v>47</v>
      </c>
      <c r="H37" s="1">
        <f>VLOOKUP(G37,job_openings!A:B,2,FALSE)</f>
        <v>2</v>
      </c>
      <c r="I37" s="1" t="str">
        <f>VLOOKUP(H37,departments!A:B,2,FALSE)</f>
        <v>Sales</v>
      </c>
      <c r="J37" s="1" t="str">
        <f>VLOOKUP(B37,candidate!A:E,5,FALSE)</f>
        <v>Walk-in</v>
      </c>
    </row>
    <row r="38" spans="1:10" x14ac:dyDescent="0.25">
      <c r="A38" s="1">
        <v>185</v>
      </c>
      <c r="B38" s="1">
        <v>1304</v>
      </c>
      <c r="C38" s="6">
        <v>45851</v>
      </c>
      <c r="D38" s="1">
        <v>6</v>
      </c>
      <c r="E38" s="1">
        <v>333000</v>
      </c>
      <c r="F38" s="1" t="s">
        <v>6</v>
      </c>
      <c r="G38" s="1">
        <f>VLOOKUP(B38,candidate!A:E,2,FALSE)</f>
        <v>33</v>
      </c>
      <c r="H38" s="1">
        <f>VLOOKUP(G38,job_openings!A:B,2,FALSE)</f>
        <v>3</v>
      </c>
      <c r="I38" s="1" t="str">
        <f>VLOOKUP(H38,departments!A:B,2,FALSE)</f>
        <v>Customer Support</v>
      </c>
      <c r="J38" s="1" t="str">
        <f>VLOOKUP(B38,candidate!A:E,5,FALSE)</f>
        <v>LinkedIn</v>
      </c>
    </row>
    <row r="39" spans="1:10" x14ac:dyDescent="0.25">
      <c r="A39" s="1">
        <v>188</v>
      </c>
      <c r="B39" s="1">
        <v>1363</v>
      </c>
      <c r="C39" s="6">
        <v>45876</v>
      </c>
      <c r="D39" s="1">
        <v>33</v>
      </c>
      <c r="E39" s="1">
        <v>432000</v>
      </c>
      <c r="F39" s="1" t="s">
        <v>6</v>
      </c>
      <c r="G39" s="1">
        <f>VLOOKUP(B39,candidate!A:E,2,FALSE)</f>
        <v>34</v>
      </c>
      <c r="H39" s="1">
        <f>VLOOKUP(G39,job_openings!A:B,2,FALSE)</f>
        <v>4</v>
      </c>
      <c r="I39" s="1" t="str">
        <f>VLOOKUP(H39,departments!A:B,2,FALSE)</f>
        <v>Operations</v>
      </c>
      <c r="J39" s="1" t="str">
        <f>VLOOKUP(B39,candidate!A:E,5,FALSE)</f>
        <v>Referral</v>
      </c>
    </row>
    <row r="40" spans="1:10" x14ac:dyDescent="0.25">
      <c r="A40" s="1">
        <v>242</v>
      </c>
      <c r="B40" s="1">
        <v>1789</v>
      </c>
      <c r="C40" s="6">
        <v>45987</v>
      </c>
      <c r="D40" s="1">
        <v>47</v>
      </c>
      <c r="E40" s="1">
        <v>1158000</v>
      </c>
      <c r="F40" s="1" t="s">
        <v>6</v>
      </c>
      <c r="G40" s="1">
        <f>VLOOKUP(B40,candidate!A:E,2,FALSE)</f>
        <v>46</v>
      </c>
      <c r="H40" s="1">
        <f>VLOOKUP(G40,job_openings!A:B,2,FALSE)</f>
        <v>1</v>
      </c>
      <c r="I40" s="1" t="str">
        <f>VLOOKUP(H40,departments!A:B,2,FALSE)</f>
        <v>Engineering</v>
      </c>
      <c r="J40" s="1" t="str">
        <f>VLOOKUP(B40,candidate!A:E,5,FALSE)</f>
        <v>LinkedIn</v>
      </c>
    </row>
    <row r="41" spans="1:10" x14ac:dyDescent="0.25">
      <c r="A41" s="1">
        <v>12</v>
      </c>
      <c r="B41" s="1">
        <v>70</v>
      </c>
      <c r="C41" s="6">
        <v>45697</v>
      </c>
      <c r="D41" s="1">
        <v>28</v>
      </c>
      <c r="E41" s="1">
        <v>476000</v>
      </c>
      <c r="F41" s="1" t="s">
        <v>6</v>
      </c>
      <c r="G41" s="1">
        <f>VLOOKUP(B41,candidate!A:E,2,FALSE)</f>
        <v>2</v>
      </c>
      <c r="H41" s="1">
        <f>VLOOKUP(G41,job_openings!A:B,2,FALSE)</f>
        <v>2</v>
      </c>
      <c r="I41" s="1" t="str">
        <f>VLOOKUP(H41,departments!A:B,2,FALSE)</f>
        <v>Sales</v>
      </c>
      <c r="J41" s="1" t="str">
        <f>VLOOKUP(B41,candidate!A:E,5,FALSE)</f>
        <v>Referral</v>
      </c>
    </row>
    <row r="42" spans="1:10" x14ac:dyDescent="0.25">
      <c r="A42" s="1">
        <v>94</v>
      </c>
      <c r="B42" s="1">
        <v>679</v>
      </c>
      <c r="C42" s="6">
        <v>45785</v>
      </c>
      <c r="D42" s="1">
        <v>28</v>
      </c>
      <c r="E42" s="1">
        <v>652000</v>
      </c>
      <c r="F42" s="1" t="s">
        <v>6</v>
      </c>
      <c r="G42" s="1">
        <f>VLOOKUP(B42,candidate!A:E,2,FALSE)</f>
        <v>17</v>
      </c>
      <c r="H42" s="1">
        <f>VLOOKUP(G42,job_openings!A:B,2,FALSE)</f>
        <v>2</v>
      </c>
      <c r="I42" s="1" t="str">
        <f>VLOOKUP(H42,departments!A:B,2,FALSE)</f>
        <v>Sales</v>
      </c>
      <c r="J42" s="1" t="str">
        <f>VLOOKUP(B42,candidate!A:E,5,FALSE)</f>
        <v>Referral</v>
      </c>
    </row>
    <row r="43" spans="1:10" x14ac:dyDescent="0.25">
      <c r="A43" s="1">
        <v>14</v>
      </c>
      <c r="B43" s="1">
        <v>80</v>
      </c>
      <c r="C43" s="6">
        <v>45686</v>
      </c>
      <c r="D43" s="1">
        <v>15</v>
      </c>
      <c r="E43" s="1">
        <v>607000</v>
      </c>
      <c r="F43" s="1" t="s">
        <v>7</v>
      </c>
      <c r="G43" s="1">
        <f>VLOOKUP(B43,candidate!A:E,2,FALSE)</f>
        <v>2</v>
      </c>
      <c r="H43" s="1">
        <f>VLOOKUP(G43,job_openings!A:B,2,FALSE)</f>
        <v>2</v>
      </c>
      <c r="I43" s="1" t="str">
        <f>VLOOKUP(H43,departments!A:B,2,FALSE)</f>
        <v>Sales</v>
      </c>
      <c r="J43" s="1" t="str">
        <f>VLOOKUP(B43,candidate!A:E,5,FALSE)</f>
        <v>Job Board</v>
      </c>
    </row>
    <row r="44" spans="1:10" x14ac:dyDescent="0.25">
      <c r="A44" s="1">
        <v>209</v>
      </c>
      <c r="B44" s="1">
        <v>1525</v>
      </c>
      <c r="C44" s="6">
        <v>45911</v>
      </c>
      <c r="D44" s="1">
        <v>28</v>
      </c>
      <c r="E44" s="1">
        <v>380000</v>
      </c>
      <c r="F44" s="1" t="s">
        <v>6</v>
      </c>
      <c r="G44" s="1">
        <f>VLOOKUP(B44,candidate!A:E,2,FALSE)</f>
        <v>39</v>
      </c>
      <c r="H44" s="1">
        <f>VLOOKUP(G44,job_openings!A:B,2,FALSE)</f>
        <v>4</v>
      </c>
      <c r="I44" s="1" t="str">
        <f>VLOOKUP(H44,departments!A:B,2,FALSE)</f>
        <v>Operations</v>
      </c>
      <c r="J44" s="1" t="str">
        <f>VLOOKUP(B44,candidate!A:E,5,FALSE)</f>
        <v>Job Board</v>
      </c>
    </row>
    <row r="45" spans="1:10" x14ac:dyDescent="0.25">
      <c r="A45" s="1">
        <v>267</v>
      </c>
      <c r="B45" s="1">
        <v>2000</v>
      </c>
      <c r="C45" s="6">
        <v>46002</v>
      </c>
      <c r="D45" s="1">
        <v>24</v>
      </c>
      <c r="E45" s="1">
        <v>370000</v>
      </c>
      <c r="F45" s="1" t="s">
        <v>7</v>
      </c>
      <c r="G45" s="1">
        <f>VLOOKUP(B45,candidate!A:E,2,FALSE)</f>
        <v>53</v>
      </c>
      <c r="H45" s="1">
        <f>VLOOKUP(G45,job_openings!A:B,2,FALSE)</f>
        <v>3</v>
      </c>
      <c r="I45" s="1" t="str">
        <f>VLOOKUP(H45,departments!A:B,2,FALSE)</f>
        <v>Customer Support</v>
      </c>
      <c r="J45" s="1" t="str">
        <f>VLOOKUP(B45,candidate!A:E,5,FALSE)</f>
        <v>Job Board</v>
      </c>
    </row>
    <row r="46" spans="1:10" x14ac:dyDescent="0.25">
      <c r="A46" s="1">
        <v>62</v>
      </c>
      <c r="B46" s="1">
        <v>456</v>
      </c>
      <c r="C46" s="6">
        <v>45781</v>
      </c>
      <c r="D46" s="1">
        <v>40</v>
      </c>
      <c r="E46" s="1">
        <v>833000</v>
      </c>
      <c r="F46" s="1" t="s">
        <v>6</v>
      </c>
      <c r="G46" s="1">
        <f>VLOOKUP(B46,candidate!A:E,2,FALSE)</f>
        <v>11</v>
      </c>
      <c r="H46" s="1">
        <f>VLOOKUP(G46,job_openings!A:B,2,FALSE)</f>
        <v>1</v>
      </c>
      <c r="I46" s="1" t="str">
        <f>VLOOKUP(H46,departments!A:B,2,FALSE)</f>
        <v>Engineering</v>
      </c>
      <c r="J46" s="1" t="str">
        <f>VLOOKUP(B46,candidate!A:E,5,FALSE)</f>
        <v>Referral</v>
      </c>
    </row>
    <row r="47" spans="1:10" x14ac:dyDescent="0.25">
      <c r="A47" s="1">
        <v>221</v>
      </c>
      <c r="B47" s="1">
        <v>1610</v>
      </c>
      <c r="C47" s="6">
        <v>45929</v>
      </c>
      <c r="D47" s="1">
        <v>27</v>
      </c>
      <c r="E47" s="1">
        <v>628000</v>
      </c>
      <c r="F47" s="1" t="s">
        <v>6</v>
      </c>
      <c r="G47" s="1">
        <f>VLOOKUP(B47,candidate!A:E,2,FALSE)</f>
        <v>42</v>
      </c>
      <c r="H47" s="1">
        <f>VLOOKUP(G47,job_openings!A:B,2,FALSE)</f>
        <v>2</v>
      </c>
      <c r="I47" s="1" t="str">
        <f>VLOOKUP(H47,departments!A:B,2,FALSE)</f>
        <v>Sales</v>
      </c>
      <c r="J47" s="1" t="str">
        <f>VLOOKUP(B47,candidate!A:E,5,FALSE)</f>
        <v>LinkedIn</v>
      </c>
    </row>
    <row r="48" spans="1:10" x14ac:dyDescent="0.25">
      <c r="A48" s="1">
        <v>235</v>
      </c>
      <c r="B48" s="1">
        <v>1663</v>
      </c>
      <c r="C48" s="6">
        <v>45919</v>
      </c>
      <c r="D48" s="1">
        <v>8</v>
      </c>
      <c r="E48" s="1">
        <v>295000</v>
      </c>
      <c r="F48" s="1" t="s">
        <v>6</v>
      </c>
      <c r="G48" s="1">
        <f>VLOOKUP(B48,candidate!A:E,2,FALSE)</f>
        <v>43</v>
      </c>
      <c r="H48" s="1">
        <f>VLOOKUP(G48,job_openings!A:B,2,FALSE)</f>
        <v>3</v>
      </c>
      <c r="I48" s="1" t="str">
        <f>VLOOKUP(H48,departments!A:B,2,FALSE)</f>
        <v>Customer Support</v>
      </c>
      <c r="J48" s="1" t="str">
        <f>VLOOKUP(B48,candidate!A:E,5,FALSE)</f>
        <v>LinkedIn</v>
      </c>
    </row>
    <row r="49" spans="1:10" x14ac:dyDescent="0.25">
      <c r="A49" s="1">
        <v>129</v>
      </c>
      <c r="B49" s="1">
        <v>924</v>
      </c>
      <c r="C49" s="6">
        <v>45809</v>
      </c>
      <c r="D49" s="1">
        <v>10</v>
      </c>
      <c r="E49" s="1">
        <v>344000</v>
      </c>
      <c r="F49" s="1" t="s">
        <v>6</v>
      </c>
      <c r="G49" s="1">
        <f>VLOOKUP(B49,candidate!A:E,2,FALSE)</f>
        <v>23</v>
      </c>
      <c r="H49" s="1">
        <f>VLOOKUP(G49,job_openings!A:B,2,FALSE)</f>
        <v>3</v>
      </c>
      <c r="I49" s="1" t="str">
        <f>VLOOKUP(H49,departments!A:B,2,FALSE)</f>
        <v>Customer Support</v>
      </c>
      <c r="J49" s="1" t="str">
        <f>VLOOKUP(B49,candidate!A:E,5,FALSE)</f>
        <v>LinkedIn</v>
      </c>
    </row>
    <row r="50" spans="1:10" x14ac:dyDescent="0.25">
      <c r="A50" s="1">
        <v>254</v>
      </c>
      <c r="B50" s="1">
        <v>1845</v>
      </c>
      <c r="C50" s="6">
        <v>45950</v>
      </c>
      <c r="D50" s="1">
        <v>12</v>
      </c>
      <c r="E50" s="1">
        <v>399000</v>
      </c>
      <c r="F50" s="1" t="s">
        <v>6</v>
      </c>
      <c r="G50" s="1">
        <f>VLOOKUP(B50,candidate!A:E,2,FALSE)</f>
        <v>48</v>
      </c>
      <c r="H50" s="1">
        <f>VLOOKUP(G50,job_openings!A:B,2,FALSE)</f>
        <v>3</v>
      </c>
      <c r="I50" s="1" t="str">
        <f>VLOOKUP(H50,departments!A:B,2,FALSE)</f>
        <v>Customer Support</v>
      </c>
      <c r="J50" s="1" t="str">
        <f>VLOOKUP(B50,candidate!A:E,5,FALSE)</f>
        <v>Referral</v>
      </c>
    </row>
    <row r="51" spans="1:10" x14ac:dyDescent="0.25">
      <c r="A51" s="1">
        <v>237</v>
      </c>
      <c r="B51" s="1">
        <v>1722</v>
      </c>
      <c r="C51" s="6">
        <v>45944</v>
      </c>
      <c r="D51" s="1">
        <v>21</v>
      </c>
      <c r="E51" s="1">
        <v>440000</v>
      </c>
      <c r="F51" s="1" t="s">
        <v>6</v>
      </c>
      <c r="G51" s="1">
        <f>VLOOKUP(B51,candidate!A:E,2,FALSE)</f>
        <v>44</v>
      </c>
      <c r="H51" s="1">
        <f>VLOOKUP(G51,job_openings!A:B,2,FALSE)</f>
        <v>4</v>
      </c>
      <c r="I51" s="1" t="str">
        <f>VLOOKUP(H51,departments!A:B,2,FALSE)</f>
        <v>Operations</v>
      </c>
      <c r="J51" s="1" t="str">
        <f>VLOOKUP(B51,candidate!A:E,5,FALSE)</f>
        <v>Referral</v>
      </c>
    </row>
    <row r="52" spans="1:10" x14ac:dyDescent="0.25">
      <c r="A52" s="1">
        <v>177</v>
      </c>
      <c r="B52" s="1">
        <v>1272</v>
      </c>
      <c r="C52" s="6">
        <v>45874</v>
      </c>
      <c r="D52" s="1">
        <v>14</v>
      </c>
      <c r="E52" s="1">
        <v>363000</v>
      </c>
      <c r="F52" s="1" t="s">
        <v>6</v>
      </c>
      <c r="G52" s="1">
        <f>VLOOKUP(B52,candidate!A:E,2,FALSE)</f>
        <v>33</v>
      </c>
      <c r="H52" s="1">
        <f>VLOOKUP(G52,job_openings!A:B,2,FALSE)</f>
        <v>3</v>
      </c>
      <c r="I52" s="1" t="str">
        <f>VLOOKUP(H52,departments!A:B,2,FALSE)</f>
        <v>Customer Support</v>
      </c>
      <c r="J52" s="1" t="str">
        <f>VLOOKUP(B52,candidate!A:E,5,FALSE)</f>
        <v>LinkedIn</v>
      </c>
    </row>
    <row r="53" spans="1:10" x14ac:dyDescent="0.25">
      <c r="A53" s="1">
        <v>17</v>
      </c>
      <c r="B53" s="1">
        <v>101</v>
      </c>
      <c r="C53" s="6">
        <v>45679</v>
      </c>
      <c r="D53" s="1">
        <v>19</v>
      </c>
      <c r="E53" s="1">
        <v>344000</v>
      </c>
      <c r="F53" s="1" t="s">
        <v>6</v>
      </c>
      <c r="G53" s="1">
        <f>VLOOKUP(B53,candidate!A:E,2,FALSE)</f>
        <v>3</v>
      </c>
      <c r="H53" s="1">
        <f>VLOOKUP(G53,job_openings!A:B,2,FALSE)</f>
        <v>3</v>
      </c>
      <c r="I53" s="1" t="str">
        <f>VLOOKUP(H53,departments!A:B,2,FALSE)</f>
        <v>Customer Support</v>
      </c>
      <c r="J53" s="1" t="str">
        <f>VLOOKUP(B53,candidate!A:E,5,FALSE)</f>
        <v>LinkedIn</v>
      </c>
    </row>
    <row r="54" spans="1:10" x14ac:dyDescent="0.25">
      <c r="A54" s="1">
        <v>175</v>
      </c>
      <c r="B54" s="1">
        <v>1268</v>
      </c>
      <c r="C54" s="6">
        <v>45864</v>
      </c>
      <c r="D54" s="1">
        <v>17</v>
      </c>
      <c r="E54" s="1">
        <v>355000</v>
      </c>
      <c r="F54" s="1" t="s">
        <v>6</v>
      </c>
      <c r="G54" s="1">
        <f>VLOOKUP(B54,candidate!A:E,2,FALSE)</f>
        <v>33</v>
      </c>
      <c r="H54" s="1">
        <f>VLOOKUP(G54,job_openings!A:B,2,FALSE)</f>
        <v>3</v>
      </c>
      <c r="I54" s="1" t="str">
        <f>VLOOKUP(H54,departments!A:B,2,FALSE)</f>
        <v>Customer Support</v>
      </c>
      <c r="J54" s="1" t="str">
        <f>VLOOKUP(B54,candidate!A:E,5,FALSE)</f>
        <v>Referral</v>
      </c>
    </row>
    <row r="55" spans="1:10" x14ac:dyDescent="0.25">
      <c r="A55" s="1">
        <v>50</v>
      </c>
      <c r="B55" s="1">
        <v>352</v>
      </c>
      <c r="C55" s="6">
        <v>45704</v>
      </c>
      <c r="D55" s="1">
        <v>12</v>
      </c>
      <c r="E55" s="1">
        <v>398000</v>
      </c>
      <c r="F55" s="1" t="s">
        <v>6</v>
      </c>
      <c r="G55" s="1">
        <f>VLOOKUP(B55,candidate!A:E,2,FALSE)</f>
        <v>8</v>
      </c>
      <c r="H55" s="1">
        <f>VLOOKUP(G55,job_openings!A:B,2,FALSE)</f>
        <v>3</v>
      </c>
      <c r="I55" s="1" t="str">
        <f>VLOOKUP(H55,departments!A:B,2,FALSE)</f>
        <v>Customer Support</v>
      </c>
      <c r="J55" s="1" t="str">
        <f>VLOOKUP(B55,candidate!A:E,5,FALSE)</f>
        <v>Referral</v>
      </c>
    </row>
    <row r="56" spans="1:10" x14ac:dyDescent="0.25">
      <c r="A56" s="1">
        <v>82</v>
      </c>
      <c r="B56" s="1">
        <v>571</v>
      </c>
      <c r="C56" s="6">
        <v>45738</v>
      </c>
      <c r="D56" s="1">
        <v>15</v>
      </c>
      <c r="E56" s="1">
        <v>347000</v>
      </c>
      <c r="F56" s="1" t="s">
        <v>6</v>
      </c>
      <c r="G56" s="1">
        <f>VLOOKUP(B56,candidate!A:E,2,FALSE)</f>
        <v>13</v>
      </c>
      <c r="H56" s="1">
        <f>VLOOKUP(G56,job_openings!A:B,2,FALSE)</f>
        <v>3</v>
      </c>
      <c r="I56" s="1" t="str">
        <f>VLOOKUP(H56,departments!A:B,2,FALSE)</f>
        <v>Customer Support</v>
      </c>
      <c r="J56" s="1" t="str">
        <f>VLOOKUP(B56,candidate!A:E,5,FALSE)</f>
        <v>Referral</v>
      </c>
    </row>
    <row r="57" spans="1:10" x14ac:dyDescent="0.25">
      <c r="A57" s="1">
        <v>233</v>
      </c>
      <c r="B57" s="1">
        <v>1657</v>
      </c>
      <c r="C57" s="6">
        <v>45928</v>
      </c>
      <c r="D57" s="1">
        <v>18</v>
      </c>
      <c r="E57" s="1">
        <v>346000</v>
      </c>
      <c r="F57" s="1" t="s">
        <v>6</v>
      </c>
      <c r="G57" s="1">
        <f>VLOOKUP(B57,candidate!A:E,2,FALSE)</f>
        <v>43</v>
      </c>
      <c r="H57" s="1">
        <f>VLOOKUP(G57,job_openings!A:B,2,FALSE)</f>
        <v>3</v>
      </c>
      <c r="I57" s="1" t="str">
        <f>VLOOKUP(H57,departments!A:B,2,FALSE)</f>
        <v>Customer Support</v>
      </c>
      <c r="J57" s="1" t="str">
        <f>VLOOKUP(B57,candidate!A:E,5,FALSE)</f>
        <v>LinkedIn</v>
      </c>
    </row>
    <row r="58" spans="1:10" x14ac:dyDescent="0.25">
      <c r="A58" s="1">
        <v>207</v>
      </c>
      <c r="B58" s="1">
        <v>1478</v>
      </c>
      <c r="C58" s="6">
        <v>45902</v>
      </c>
      <c r="D58" s="1">
        <v>19</v>
      </c>
      <c r="E58" s="1">
        <v>375000</v>
      </c>
      <c r="F58" s="1" t="s">
        <v>6</v>
      </c>
      <c r="G58" s="1">
        <f>VLOOKUP(B58,candidate!A:E,2,FALSE)</f>
        <v>38</v>
      </c>
      <c r="H58" s="1">
        <f>VLOOKUP(G58,job_openings!A:B,2,FALSE)</f>
        <v>3</v>
      </c>
      <c r="I58" s="1" t="str">
        <f>VLOOKUP(H58,departments!A:B,2,FALSE)</f>
        <v>Customer Support</v>
      </c>
      <c r="J58" s="1" t="str">
        <f>VLOOKUP(B58,candidate!A:E,5,FALSE)</f>
        <v>Job Board</v>
      </c>
    </row>
    <row r="59" spans="1:10" x14ac:dyDescent="0.25">
      <c r="A59" s="1">
        <v>47</v>
      </c>
      <c r="B59" s="1">
        <v>343</v>
      </c>
      <c r="C59" s="6">
        <v>45727</v>
      </c>
      <c r="D59" s="1">
        <v>30</v>
      </c>
      <c r="E59" s="1">
        <v>326000</v>
      </c>
      <c r="F59" s="1" t="s">
        <v>7</v>
      </c>
      <c r="G59" s="1">
        <f>VLOOKUP(B59,candidate!A:E,2,FALSE)</f>
        <v>8</v>
      </c>
      <c r="H59" s="1">
        <f>VLOOKUP(G59,job_openings!A:B,2,FALSE)</f>
        <v>3</v>
      </c>
      <c r="I59" s="1" t="str">
        <f>VLOOKUP(H59,departments!A:B,2,FALSE)</f>
        <v>Customer Support</v>
      </c>
      <c r="J59" s="1" t="str">
        <f>VLOOKUP(B59,candidate!A:E,5,FALSE)</f>
        <v>LinkedIn</v>
      </c>
    </row>
    <row r="60" spans="1:10" x14ac:dyDescent="0.25">
      <c r="A60" s="1">
        <v>111</v>
      </c>
      <c r="B60" s="1">
        <v>799</v>
      </c>
      <c r="C60" s="6">
        <v>45776</v>
      </c>
      <c r="D60" s="1">
        <v>18</v>
      </c>
      <c r="E60" s="1">
        <v>439000</v>
      </c>
      <c r="F60" s="1" t="s">
        <v>6</v>
      </c>
      <c r="G60" s="1">
        <f>VLOOKUP(B60,candidate!A:E,2,FALSE)</f>
        <v>19</v>
      </c>
      <c r="H60" s="1">
        <f>VLOOKUP(G60,job_openings!A:B,2,FALSE)</f>
        <v>4</v>
      </c>
      <c r="I60" s="1" t="str">
        <f>VLOOKUP(H60,departments!A:B,2,FALSE)</f>
        <v>Operations</v>
      </c>
      <c r="J60" s="1" t="str">
        <f>VLOOKUP(B60,candidate!A:E,5,FALSE)</f>
        <v>LinkedIn</v>
      </c>
    </row>
    <row r="61" spans="1:10" x14ac:dyDescent="0.25">
      <c r="A61" s="1">
        <v>251</v>
      </c>
      <c r="B61" s="1">
        <v>1841</v>
      </c>
      <c r="C61" s="6">
        <v>45959</v>
      </c>
      <c r="D61" s="1">
        <v>9</v>
      </c>
      <c r="E61" s="1">
        <v>282000</v>
      </c>
      <c r="F61" s="1" t="s">
        <v>6</v>
      </c>
      <c r="G61" s="1">
        <f>VLOOKUP(B61,candidate!A:E,2,FALSE)</f>
        <v>48</v>
      </c>
      <c r="H61" s="1">
        <f>VLOOKUP(G61,job_openings!A:B,2,FALSE)</f>
        <v>3</v>
      </c>
      <c r="I61" s="1" t="str">
        <f>VLOOKUP(H61,departments!A:B,2,FALSE)</f>
        <v>Customer Support</v>
      </c>
      <c r="J61" s="1" t="str">
        <f>VLOOKUP(B61,candidate!A:E,5,FALSE)</f>
        <v>Job Board</v>
      </c>
    </row>
    <row r="62" spans="1:10" x14ac:dyDescent="0.25">
      <c r="A62" s="1">
        <v>225</v>
      </c>
      <c r="B62" s="1">
        <v>1634</v>
      </c>
      <c r="C62" s="6">
        <v>45936</v>
      </c>
      <c r="D62" s="1">
        <v>19</v>
      </c>
      <c r="E62" s="1">
        <v>366000</v>
      </c>
      <c r="F62" s="1" t="s">
        <v>6</v>
      </c>
      <c r="G62" s="1">
        <f>VLOOKUP(B62,candidate!A:E,2,FALSE)</f>
        <v>43</v>
      </c>
      <c r="H62" s="1">
        <f>VLOOKUP(G62,job_openings!A:B,2,FALSE)</f>
        <v>3</v>
      </c>
      <c r="I62" s="1" t="str">
        <f>VLOOKUP(H62,departments!A:B,2,FALSE)</f>
        <v>Customer Support</v>
      </c>
      <c r="J62" s="1" t="str">
        <f>VLOOKUP(B62,candidate!A:E,5,FALSE)</f>
        <v>LinkedIn</v>
      </c>
    </row>
    <row r="63" spans="1:10" x14ac:dyDescent="0.25">
      <c r="A63" s="1">
        <v>77</v>
      </c>
      <c r="B63" s="1">
        <v>540</v>
      </c>
      <c r="C63" s="6">
        <v>45749</v>
      </c>
      <c r="D63" s="1">
        <v>18</v>
      </c>
      <c r="E63" s="1">
        <v>360000</v>
      </c>
      <c r="F63" s="1" t="s">
        <v>7</v>
      </c>
      <c r="G63" s="1">
        <f>VLOOKUP(B63,candidate!A:E,2,FALSE)</f>
        <v>13</v>
      </c>
      <c r="H63" s="1">
        <f>VLOOKUP(G63,job_openings!A:B,2,FALSE)</f>
        <v>3</v>
      </c>
      <c r="I63" s="1" t="str">
        <f>VLOOKUP(H63,departments!A:B,2,FALSE)</f>
        <v>Customer Support</v>
      </c>
      <c r="J63" s="1" t="str">
        <f>VLOOKUP(B63,candidate!A:E,5,FALSE)</f>
        <v>Job Board</v>
      </c>
    </row>
    <row r="64" spans="1:10" x14ac:dyDescent="0.25">
      <c r="A64" s="1">
        <v>284</v>
      </c>
      <c r="B64" s="1">
        <v>2123</v>
      </c>
      <c r="C64" s="6">
        <v>45997</v>
      </c>
      <c r="D64" s="1">
        <v>5</v>
      </c>
      <c r="E64" s="1">
        <v>299000</v>
      </c>
      <c r="F64" s="1" t="s">
        <v>6</v>
      </c>
      <c r="G64" s="1">
        <f>VLOOKUP(B64,candidate!A:E,2,FALSE)</f>
        <v>58</v>
      </c>
      <c r="H64" s="1">
        <f>VLOOKUP(G64,job_openings!A:B,2,FALSE)</f>
        <v>3</v>
      </c>
      <c r="I64" s="1" t="str">
        <f>VLOOKUP(H64,departments!A:B,2,FALSE)</f>
        <v>Customer Support</v>
      </c>
      <c r="J64" s="1" t="str">
        <f>VLOOKUP(B64,candidate!A:E,5,FALSE)</f>
        <v>Referral</v>
      </c>
    </row>
    <row r="65" spans="1:10" x14ac:dyDescent="0.25">
      <c r="A65" s="1">
        <v>186</v>
      </c>
      <c r="B65" s="1">
        <v>1356</v>
      </c>
      <c r="C65" s="6">
        <v>45856</v>
      </c>
      <c r="D65" s="1">
        <v>8</v>
      </c>
      <c r="E65" s="1">
        <v>474000</v>
      </c>
      <c r="F65" s="1" t="s">
        <v>6</v>
      </c>
      <c r="G65" s="1">
        <f>VLOOKUP(B65,candidate!A:E,2,FALSE)</f>
        <v>34</v>
      </c>
      <c r="H65" s="1">
        <f>VLOOKUP(G65,job_openings!A:B,2,FALSE)</f>
        <v>4</v>
      </c>
      <c r="I65" s="1" t="str">
        <f>VLOOKUP(H65,departments!A:B,2,FALSE)</f>
        <v>Operations</v>
      </c>
      <c r="J65" s="1" t="str">
        <f>VLOOKUP(B65,candidate!A:E,5,FALSE)</f>
        <v>Referral</v>
      </c>
    </row>
    <row r="66" spans="1:10" x14ac:dyDescent="0.25">
      <c r="A66" s="1">
        <v>133</v>
      </c>
      <c r="B66" s="1">
        <v>937</v>
      </c>
      <c r="C66" s="6">
        <v>45819</v>
      </c>
      <c r="D66" s="1">
        <v>23</v>
      </c>
      <c r="E66" s="1">
        <v>365000</v>
      </c>
      <c r="F66" s="1" t="s">
        <v>6</v>
      </c>
      <c r="G66" s="1">
        <f>VLOOKUP(B66,candidate!A:E,2,FALSE)</f>
        <v>23</v>
      </c>
      <c r="H66" s="1">
        <f>VLOOKUP(G66,job_openings!A:B,2,FALSE)</f>
        <v>3</v>
      </c>
      <c r="I66" s="1" t="str">
        <f>VLOOKUP(H66,departments!A:B,2,FALSE)</f>
        <v>Customer Support</v>
      </c>
      <c r="J66" s="1" t="str">
        <f>VLOOKUP(B66,candidate!A:E,5,FALSE)</f>
        <v>Referral</v>
      </c>
    </row>
    <row r="67" spans="1:10" x14ac:dyDescent="0.25">
      <c r="A67" s="1">
        <v>160</v>
      </c>
      <c r="B67" s="1">
        <v>1146</v>
      </c>
      <c r="C67" s="6">
        <v>45845</v>
      </c>
      <c r="D67" s="1">
        <v>18</v>
      </c>
      <c r="E67" s="1">
        <v>346000</v>
      </c>
      <c r="F67" s="1" t="s">
        <v>7</v>
      </c>
      <c r="G67" s="1">
        <f>VLOOKUP(B67,candidate!A:E,2,FALSE)</f>
        <v>28</v>
      </c>
      <c r="H67" s="1">
        <f>VLOOKUP(G67,job_openings!A:B,2,FALSE)</f>
        <v>3</v>
      </c>
      <c r="I67" s="1" t="str">
        <f>VLOOKUP(H67,departments!A:B,2,FALSE)</f>
        <v>Customer Support</v>
      </c>
      <c r="J67" s="1" t="str">
        <f>VLOOKUP(B67,candidate!A:E,5,FALSE)</f>
        <v>Job Board</v>
      </c>
    </row>
    <row r="68" spans="1:10" x14ac:dyDescent="0.25">
      <c r="A68" s="1">
        <v>90</v>
      </c>
      <c r="B68" s="1">
        <v>655</v>
      </c>
      <c r="C68" s="6">
        <v>45784</v>
      </c>
      <c r="D68" s="1">
        <v>26</v>
      </c>
      <c r="E68" s="1">
        <v>499000</v>
      </c>
      <c r="F68" s="1" t="s">
        <v>6</v>
      </c>
      <c r="G68" s="1">
        <f>VLOOKUP(B68,candidate!A:E,2,FALSE)</f>
        <v>17</v>
      </c>
      <c r="H68" s="1">
        <f>VLOOKUP(G68,job_openings!A:B,2,FALSE)</f>
        <v>2</v>
      </c>
      <c r="I68" s="1" t="str">
        <f>VLOOKUP(H68,departments!A:B,2,FALSE)</f>
        <v>Sales</v>
      </c>
      <c r="J68" s="1" t="str">
        <f>VLOOKUP(B68,candidate!A:E,5,FALSE)</f>
        <v>Referral</v>
      </c>
    </row>
    <row r="69" spans="1:10" x14ac:dyDescent="0.25">
      <c r="A69" s="1">
        <v>70</v>
      </c>
      <c r="B69" s="1">
        <v>515</v>
      </c>
      <c r="C69" s="6">
        <v>45732</v>
      </c>
      <c r="D69" s="1">
        <v>5</v>
      </c>
      <c r="E69" s="1">
        <v>333000</v>
      </c>
      <c r="F69" s="1" t="s">
        <v>6</v>
      </c>
      <c r="G69" s="1">
        <f>VLOOKUP(B69,candidate!A:E,2,FALSE)</f>
        <v>13</v>
      </c>
      <c r="H69" s="1">
        <f>VLOOKUP(G69,job_openings!A:B,2,FALSE)</f>
        <v>3</v>
      </c>
      <c r="I69" s="1" t="str">
        <f>VLOOKUP(H69,departments!A:B,2,FALSE)</f>
        <v>Customer Support</v>
      </c>
      <c r="J69" s="1" t="str">
        <f>VLOOKUP(B69,candidate!A:E,5,FALSE)</f>
        <v>LinkedIn</v>
      </c>
    </row>
    <row r="70" spans="1:10" x14ac:dyDescent="0.25">
      <c r="A70" s="1">
        <v>29</v>
      </c>
      <c r="B70" s="1">
        <v>195</v>
      </c>
      <c r="C70" s="6">
        <v>45693</v>
      </c>
      <c r="D70" s="1">
        <v>30</v>
      </c>
      <c r="E70" s="1">
        <v>412000</v>
      </c>
      <c r="F70" s="1" t="s">
        <v>6</v>
      </c>
      <c r="G70" s="1">
        <f>VLOOKUP(B70,candidate!A:E,2,FALSE)</f>
        <v>4</v>
      </c>
      <c r="H70" s="1">
        <f>VLOOKUP(G70,job_openings!A:B,2,FALSE)</f>
        <v>4</v>
      </c>
      <c r="I70" s="1" t="str">
        <f>VLOOKUP(H70,departments!A:B,2,FALSE)</f>
        <v>Operations</v>
      </c>
      <c r="J70" s="1" t="str">
        <f>VLOOKUP(B70,candidate!A:E,5,FALSE)</f>
        <v>LinkedIn</v>
      </c>
    </row>
    <row r="71" spans="1:10" x14ac:dyDescent="0.25">
      <c r="A71" s="1">
        <v>45</v>
      </c>
      <c r="B71" s="1">
        <v>336</v>
      </c>
      <c r="C71" s="6">
        <v>45721</v>
      </c>
      <c r="D71" s="1">
        <v>5</v>
      </c>
      <c r="E71" s="1">
        <v>370000</v>
      </c>
      <c r="F71" s="1" t="s">
        <v>6</v>
      </c>
      <c r="G71" s="1">
        <f>VLOOKUP(B71,candidate!A:E,2,FALSE)</f>
        <v>8</v>
      </c>
      <c r="H71" s="1">
        <f>VLOOKUP(G71,job_openings!A:B,2,FALSE)</f>
        <v>3</v>
      </c>
      <c r="I71" s="1" t="str">
        <f>VLOOKUP(H71,departments!A:B,2,FALSE)</f>
        <v>Customer Support</v>
      </c>
      <c r="J71" s="1" t="str">
        <f>VLOOKUP(B71,candidate!A:E,5,FALSE)</f>
        <v>Referral</v>
      </c>
    </row>
    <row r="72" spans="1:10" x14ac:dyDescent="0.25">
      <c r="A72" s="1">
        <v>117</v>
      </c>
      <c r="B72" s="1">
        <v>845</v>
      </c>
      <c r="C72" s="6">
        <v>45828</v>
      </c>
      <c r="D72" s="1">
        <v>31</v>
      </c>
      <c r="E72" s="1">
        <v>851000</v>
      </c>
      <c r="F72" s="1" t="s">
        <v>6</v>
      </c>
      <c r="G72" s="1">
        <f>VLOOKUP(B72,candidate!A:E,2,FALSE)</f>
        <v>21</v>
      </c>
      <c r="H72" s="1">
        <f>VLOOKUP(G72,job_openings!A:B,2,FALSE)</f>
        <v>1</v>
      </c>
      <c r="I72" s="1" t="str">
        <f>VLOOKUP(H72,departments!A:B,2,FALSE)</f>
        <v>Engineering</v>
      </c>
      <c r="J72" s="1" t="str">
        <f>VLOOKUP(B72,candidate!A:E,5,FALSE)</f>
        <v>Referral</v>
      </c>
    </row>
    <row r="73" spans="1:10" x14ac:dyDescent="0.25">
      <c r="A73" s="1">
        <v>153</v>
      </c>
      <c r="B73" s="1">
        <v>1054</v>
      </c>
      <c r="C73" s="6">
        <v>45849</v>
      </c>
      <c r="D73" s="1">
        <v>22</v>
      </c>
      <c r="E73" s="1">
        <v>548000</v>
      </c>
      <c r="F73" s="1" t="s">
        <v>6</v>
      </c>
      <c r="G73" s="1">
        <f>VLOOKUP(B73,candidate!A:E,2,FALSE)</f>
        <v>27</v>
      </c>
      <c r="H73" s="1">
        <f>VLOOKUP(G73,job_openings!A:B,2,FALSE)</f>
        <v>2</v>
      </c>
      <c r="I73" s="1" t="str">
        <f>VLOOKUP(H73,departments!A:B,2,FALSE)</f>
        <v>Sales</v>
      </c>
      <c r="J73" s="1" t="str">
        <f>VLOOKUP(B73,candidate!A:E,5,FALSE)</f>
        <v>Walk-in</v>
      </c>
    </row>
    <row r="74" spans="1:10" x14ac:dyDescent="0.25">
      <c r="A74" s="1">
        <v>99</v>
      </c>
      <c r="B74" s="1">
        <v>704</v>
      </c>
      <c r="C74" s="6">
        <v>45768</v>
      </c>
      <c r="D74" s="1">
        <v>12</v>
      </c>
      <c r="E74" s="1">
        <v>335000</v>
      </c>
      <c r="F74" s="1" t="s">
        <v>6</v>
      </c>
      <c r="G74" s="1">
        <f>VLOOKUP(B74,candidate!A:E,2,FALSE)</f>
        <v>18</v>
      </c>
      <c r="H74" s="1">
        <f>VLOOKUP(G74,job_openings!A:B,2,FALSE)</f>
        <v>3</v>
      </c>
      <c r="I74" s="1" t="str">
        <f>VLOOKUP(H74,departments!A:B,2,FALSE)</f>
        <v>Customer Support</v>
      </c>
      <c r="J74" s="1" t="str">
        <f>VLOOKUP(B74,candidate!A:E,5,FALSE)</f>
        <v>Job Board</v>
      </c>
    </row>
    <row r="75" spans="1:10" x14ac:dyDescent="0.25">
      <c r="A75" s="1">
        <v>260</v>
      </c>
      <c r="B75" s="1">
        <v>1914</v>
      </c>
      <c r="C75" s="6">
        <v>45975</v>
      </c>
      <c r="D75" s="1">
        <v>20</v>
      </c>
      <c r="E75" s="1">
        <v>486000</v>
      </c>
      <c r="F75" s="1" t="s">
        <v>7</v>
      </c>
      <c r="G75" s="1">
        <f>VLOOKUP(B75,candidate!A:E,2,FALSE)</f>
        <v>49</v>
      </c>
      <c r="H75" s="1">
        <f>VLOOKUP(G75,job_openings!A:B,2,FALSE)</f>
        <v>4</v>
      </c>
      <c r="I75" s="1" t="str">
        <f>VLOOKUP(H75,departments!A:B,2,FALSE)</f>
        <v>Operations</v>
      </c>
      <c r="J75" s="1" t="str">
        <f>VLOOKUP(B75,candidate!A:E,5,FALSE)</f>
        <v>Walk-in</v>
      </c>
    </row>
    <row r="76" spans="1:10" x14ac:dyDescent="0.25">
      <c r="A76" s="1">
        <v>176</v>
      </c>
      <c r="B76" s="1">
        <v>1270</v>
      </c>
      <c r="C76" s="6">
        <v>45883</v>
      </c>
      <c r="D76" s="1">
        <v>22</v>
      </c>
      <c r="E76" s="1">
        <v>340765.77</v>
      </c>
      <c r="F76" s="1" t="s">
        <v>6</v>
      </c>
      <c r="G76" s="1">
        <f>VLOOKUP(B76,candidate!A:E,2,FALSE)</f>
        <v>33</v>
      </c>
      <c r="H76" s="1">
        <f>VLOOKUP(G76,job_openings!A:B,2,FALSE)</f>
        <v>3</v>
      </c>
      <c r="I76" s="1" t="str">
        <f>VLOOKUP(H76,departments!A:B,2,FALSE)</f>
        <v>Customer Support</v>
      </c>
      <c r="J76" s="1" t="str">
        <f>VLOOKUP(B76,candidate!A:E,5,FALSE)</f>
        <v>LinkedIn</v>
      </c>
    </row>
    <row r="77" spans="1:10" x14ac:dyDescent="0.25">
      <c r="A77" s="1">
        <v>149</v>
      </c>
      <c r="B77" s="1">
        <v>1033</v>
      </c>
      <c r="C77" s="6">
        <v>45848</v>
      </c>
      <c r="D77" s="1">
        <v>36</v>
      </c>
      <c r="E77" s="1">
        <v>512000</v>
      </c>
      <c r="F77" s="1" t="s">
        <v>6</v>
      </c>
      <c r="G77" s="1">
        <f>VLOOKUP(B77,candidate!A:E,2,FALSE)</f>
        <v>27</v>
      </c>
      <c r="H77" s="1">
        <f>VLOOKUP(G77,job_openings!A:B,2,FALSE)</f>
        <v>2</v>
      </c>
      <c r="I77" s="1" t="str">
        <f>VLOOKUP(H77,departments!A:B,2,FALSE)</f>
        <v>Sales</v>
      </c>
      <c r="J77" s="1" t="str">
        <f>VLOOKUP(B77,candidate!A:E,5,FALSE)</f>
        <v>LinkedIn</v>
      </c>
    </row>
    <row r="78" spans="1:10" x14ac:dyDescent="0.25">
      <c r="A78" s="1">
        <v>59</v>
      </c>
      <c r="B78" s="1">
        <v>441</v>
      </c>
      <c r="C78" s="6">
        <v>45767</v>
      </c>
      <c r="D78" s="1">
        <v>31</v>
      </c>
      <c r="E78" s="1">
        <v>890000</v>
      </c>
      <c r="F78" s="1" t="s">
        <v>6</v>
      </c>
      <c r="G78" s="1">
        <f>VLOOKUP(B78,candidate!A:E,2,FALSE)</f>
        <v>11</v>
      </c>
      <c r="H78" s="1">
        <f>VLOOKUP(G78,job_openings!A:B,2,FALSE)</f>
        <v>1</v>
      </c>
      <c r="I78" s="1" t="str">
        <f>VLOOKUP(H78,departments!A:B,2,FALSE)</f>
        <v>Engineering</v>
      </c>
      <c r="J78" s="1" t="str">
        <f>VLOOKUP(B78,candidate!A:E,5,FALSE)</f>
        <v>Referral</v>
      </c>
    </row>
    <row r="79" spans="1:10" x14ac:dyDescent="0.25">
      <c r="A79" s="1">
        <v>166</v>
      </c>
      <c r="B79" s="1">
        <v>1208</v>
      </c>
      <c r="C79" s="6">
        <v>45891</v>
      </c>
      <c r="D79" s="1">
        <v>40</v>
      </c>
      <c r="E79" s="1">
        <v>1101000</v>
      </c>
      <c r="F79" s="1" t="s">
        <v>6</v>
      </c>
      <c r="G79" s="1">
        <f>VLOOKUP(B79,candidate!A:E,2,FALSE)</f>
        <v>31</v>
      </c>
      <c r="H79" s="1">
        <f>VLOOKUP(G79,job_openings!A:B,2,FALSE)</f>
        <v>1</v>
      </c>
      <c r="I79" s="1" t="str">
        <f>VLOOKUP(H79,departments!A:B,2,FALSE)</f>
        <v>Engineering</v>
      </c>
      <c r="J79" s="1" t="str">
        <f>VLOOKUP(B79,candidate!A:E,5,FALSE)</f>
        <v>Referral</v>
      </c>
    </row>
    <row r="80" spans="1:10" x14ac:dyDescent="0.25">
      <c r="A80" s="1">
        <v>276</v>
      </c>
      <c r="B80" s="1">
        <v>2073</v>
      </c>
      <c r="C80" s="6">
        <v>46048</v>
      </c>
      <c r="D80" s="1">
        <v>35</v>
      </c>
      <c r="E80" s="1">
        <v>901000</v>
      </c>
      <c r="F80" s="1" t="s">
        <v>7</v>
      </c>
      <c r="G80" s="1">
        <f>VLOOKUP(B80,candidate!A:E,2,FALSE)</f>
        <v>56</v>
      </c>
      <c r="H80" s="1">
        <f>VLOOKUP(G80,job_openings!A:B,2,FALSE)</f>
        <v>1</v>
      </c>
      <c r="I80" s="1" t="str">
        <f>VLOOKUP(H80,departments!A:B,2,FALSE)</f>
        <v>Engineering</v>
      </c>
      <c r="J80" s="1" t="str">
        <f>VLOOKUP(B80,candidate!A:E,5,FALSE)</f>
        <v>Job Board</v>
      </c>
    </row>
    <row r="81" spans="1:10" x14ac:dyDescent="0.25">
      <c r="A81" s="1">
        <v>241</v>
      </c>
      <c r="B81" s="1">
        <v>1774</v>
      </c>
      <c r="C81" s="6">
        <v>45981</v>
      </c>
      <c r="D81" s="1">
        <v>43</v>
      </c>
      <c r="E81" s="1">
        <v>933000</v>
      </c>
      <c r="F81" s="1" t="s">
        <v>6</v>
      </c>
      <c r="G81" s="1">
        <f>VLOOKUP(B81,candidate!A:E,2,FALSE)</f>
        <v>46</v>
      </c>
      <c r="H81" s="1">
        <f>VLOOKUP(G81,job_openings!A:B,2,FALSE)</f>
        <v>1</v>
      </c>
      <c r="I81" s="1" t="str">
        <f>VLOOKUP(H81,departments!A:B,2,FALSE)</f>
        <v>Engineering</v>
      </c>
      <c r="J81" s="1" t="str">
        <f>VLOOKUP(B81,candidate!A:E,5,FALSE)</f>
        <v>Referral</v>
      </c>
    </row>
    <row r="82" spans="1:10" x14ac:dyDescent="0.25">
      <c r="A82" s="1">
        <v>285</v>
      </c>
      <c r="B82" s="1">
        <v>2126</v>
      </c>
      <c r="C82" s="6">
        <v>46036</v>
      </c>
      <c r="D82" s="1">
        <v>19</v>
      </c>
      <c r="E82" s="1">
        <v>460000</v>
      </c>
      <c r="F82" s="1" t="s">
        <v>7</v>
      </c>
      <c r="G82" s="1">
        <f>VLOOKUP(B82,candidate!A:E,2,FALSE)</f>
        <v>59</v>
      </c>
      <c r="H82" s="1">
        <f>VLOOKUP(G82,job_openings!A:B,2,FALSE)</f>
        <v>4</v>
      </c>
      <c r="I82" s="1" t="str">
        <f>VLOOKUP(H82,departments!A:B,2,FALSE)</f>
        <v>Operations</v>
      </c>
      <c r="J82" s="1" t="str">
        <f>VLOOKUP(B82,candidate!A:E,5,FALSE)</f>
        <v>LinkedIn</v>
      </c>
    </row>
    <row r="83" spans="1:10" x14ac:dyDescent="0.25">
      <c r="A83" s="1">
        <v>265</v>
      </c>
      <c r="B83" s="1">
        <v>1957</v>
      </c>
      <c r="C83" s="6">
        <v>46022</v>
      </c>
      <c r="D83" s="1">
        <v>41</v>
      </c>
      <c r="E83" s="1">
        <v>1026000</v>
      </c>
      <c r="F83" s="1" t="s">
        <v>6</v>
      </c>
      <c r="G83" s="1">
        <f>VLOOKUP(B83,candidate!A:E,2,FALSE)</f>
        <v>51</v>
      </c>
      <c r="H83" s="1">
        <f>VLOOKUP(G83,job_openings!A:B,2,FALSE)</f>
        <v>1</v>
      </c>
      <c r="I83" s="1" t="str">
        <f>VLOOKUP(H83,departments!A:B,2,FALSE)</f>
        <v>Engineering</v>
      </c>
      <c r="J83" s="1" t="str">
        <f>VLOOKUP(B83,candidate!A:E,5,FALSE)</f>
        <v>Job Board</v>
      </c>
    </row>
    <row r="84" spans="1:10" x14ac:dyDescent="0.25">
      <c r="A84" s="1">
        <v>1</v>
      </c>
      <c r="B84" s="1">
        <v>1</v>
      </c>
      <c r="C84" s="6">
        <v>45691</v>
      </c>
      <c r="D84" s="1">
        <v>32</v>
      </c>
      <c r="E84" s="1">
        <v>897000</v>
      </c>
      <c r="F84" s="1" t="s">
        <v>6</v>
      </c>
      <c r="G84" s="1">
        <f>VLOOKUP(B84,candidate!A:E,2,FALSE)</f>
        <v>1</v>
      </c>
      <c r="H84" s="1">
        <f>VLOOKUP(G84,job_openings!A:B,2,FALSE)</f>
        <v>1</v>
      </c>
      <c r="I84" s="1" t="str">
        <f>VLOOKUP(H84,departments!A:B,2,FALSE)</f>
        <v>Engineering</v>
      </c>
      <c r="J84" s="1" t="str">
        <f>VLOOKUP(B84,candidate!A:E,5,FALSE)</f>
        <v>Walk-in</v>
      </c>
    </row>
    <row r="85" spans="1:10" x14ac:dyDescent="0.25">
      <c r="A85" s="1">
        <v>9</v>
      </c>
      <c r="B85" s="1">
        <v>49</v>
      </c>
      <c r="C85" s="6">
        <v>45710</v>
      </c>
      <c r="D85" s="1">
        <v>30</v>
      </c>
      <c r="E85" s="1">
        <v>644000</v>
      </c>
      <c r="F85" s="1" t="s">
        <v>6</v>
      </c>
      <c r="G85" s="1">
        <f>VLOOKUP(B85,candidate!A:E,2,FALSE)</f>
        <v>2</v>
      </c>
      <c r="H85" s="1">
        <f>VLOOKUP(G85,job_openings!A:B,2,FALSE)</f>
        <v>2</v>
      </c>
      <c r="I85" s="1" t="str">
        <f>VLOOKUP(H85,departments!A:B,2,FALSE)</f>
        <v>Sales</v>
      </c>
      <c r="J85" s="1" t="str">
        <f>VLOOKUP(B85,candidate!A:E,5,FALSE)</f>
        <v>LinkedIn</v>
      </c>
    </row>
    <row r="86" spans="1:10" x14ac:dyDescent="0.25">
      <c r="A86" s="1">
        <v>91</v>
      </c>
      <c r="B86" s="1">
        <v>659</v>
      </c>
      <c r="C86" s="6">
        <v>45781</v>
      </c>
      <c r="D86" s="1">
        <v>18</v>
      </c>
      <c r="E86" s="1">
        <v>641000</v>
      </c>
      <c r="F86" s="1" t="s">
        <v>6</v>
      </c>
      <c r="G86" s="1">
        <f>VLOOKUP(B86,candidate!A:E,2,FALSE)</f>
        <v>17</v>
      </c>
      <c r="H86" s="1">
        <f>VLOOKUP(G86,job_openings!A:B,2,FALSE)</f>
        <v>2</v>
      </c>
      <c r="I86" s="1" t="str">
        <f>VLOOKUP(H86,departments!A:B,2,FALSE)</f>
        <v>Sales</v>
      </c>
      <c r="J86" s="1" t="str">
        <f>VLOOKUP(B86,candidate!A:E,5,FALSE)</f>
        <v>Job Board</v>
      </c>
    </row>
    <row r="87" spans="1:10" x14ac:dyDescent="0.25">
      <c r="A87" s="1">
        <v>150</v>
      </c>
      <c r="B87" s="1">
        <v>1036</v>
      </c>
      <c r="C87" s="6">
        <v>45864</v>
      </c>
      <c r="D87" s="1">
        <v>36</v>
      </c>
      <c r="E87" s="1">
        <v>612000</v>
      </c>
      <c r="F87" s="1" t="s">
        <v>7</v>
      </c>
      <c r="G87" s="1">
        <f>VLOOKUP(B87,candidate!A:E,2,FALSE)</f>
        <v>27</v>
      </c>
      <c r="H87" s="1">
        <f>VLOOKUP(G87,job_openings!A:B,2,FALSE)</f>
        <v>2</v>
      </c>
      <c r="I87" s="1" t="str">
        <f>VLOOKUP(H87,departments!A:B,2,FALSE)</f>
        <v>Sales</v>
      </c>
      <c r="J87" s="1" t="str">
        <f>VLOOKUP(B87,candidate!A:E,5,FALSE)</f>
        <v>Job Board</v>
      </c>
    </row>
    <row r="88" spans="1:10" x14ac:dyDescent="0.25">
      <c r="A88" s="1">
        <v>23</v>
      </c>
      <c r="B88" s="1">
        <v>179</v>
      </c>
      <c r="C88" s="6">
        <v>45672</v>
      </c>
      <c r="D88" s="1">
        <v>14</v>
      </c>
      <c r="E88" s="1">
        <v>321000</v>
      </c>
      <c r="F88" s="1" t="s">
        <v>6</v>
      </c>
      <c r="G88" s="1">
        <f>VLOOKUP(B88,candidate!A:E,2,FALSE)</f>
        <v>3</v>
      </c>
      <c r="H88" s="1">
        <f>VLOOKUP(G88,job_openings!A:B,2,FALSE)</f>
        <v>3</v>
      </c>
      <c r="I88" s="1" t="str">
        <f>VLOOKUP(H88,departments!A:B,2,FALSE)</f>
        <v>Customer Support</v>
      </c>
      <c r="J88" s="1" t="str">
        <f>VLOOKUP(B88,candidate!A:E,5,FALSE)</f>
        <v>LinkedIn</v>
      </c>
    </row>
    <row r="89" spans="1:10" x14ac:dyDescent="0.25">
      <c r="A89" s="1">
        <v>200</v>
      </c>
      <c r="B89" s="1">
        <v>1451</v>
      </c>
      <c r="C89" s="6">
        <v>45919</v>
      </c>
      <c r="D89" s="1">
        <v>22</v>
      </c>
      <c r="E89" s="1">
        <v>348000</v>
      </c>
      <c r="F89" s="1" t="s">
        <v>6</v>
      </c>
      <c r="G89" s="1">
        <f>VLOOKUP(B89,candidate!A:E,2,FALSE)</f>
        <v>38</v>
      </c>
      <c r="H89" s="1">
        <f>VLOOKUP(G89,job_openings!A:B,2,FALSE)</f>
        <v>3</v>
      </c>
      <c r="I89" s="1" t="str">
        <f>VLOOKUP(H89,departments!A:B,2,FALSE)</f>
        <v>Customer Support</v>
      </c>
      <c r="J89" s="1" t="str">
        <f>VLOOKUP(B89,candidate!A:E,5,FALSE)</f>
        <v>Referral</v>
      </c>
    </row>
    <row r="90" spans="1:10" x14ac:dyDescent="0.25">
      <c r="A90" s="1">
        <v>41</v>
      </c>
      <c r="B90" s="1">
        <v>316</v>
      </c>
      <c r="C90" s="6">
        <v>45701</v>
      </c>
      <c r="D90" s="1">
        <v>5</v>
      </c>
      <c r="E90" s="1">
        <v>287000</v>
      </c>
      <c r="F90" s="1" t="s">
        <v>7</v>
      </c>
      <c r="G90" s="1">
        <f>VLOOKUP(B90,candidate!A:E,2,FALSE)</f>
        <v>8</v>
      </c>
      <c r="H90" s="1">
        <f>VLOOKUP(G90,job_openings!A:B,2,FALSE)</f>
        <v>3</v>
      </c>
      <c r="I90" s="1" t="str">
        <f>VLOOKUP(H90,departments!A:B,2,FALSE)</f>
        <v>Customer Support</v>
      </c>
      <c r="J90" s="1" t="str">
        <f>VLOOKUP(B90,candidate!A:E,5,FALSE)</f>
        <v>Walk-in</v>
      </c>
    </row>
    <row r="91" spans="1:10" x14ac:dyDescent="0.25">
      <c r="A91" s="1">
        <v>167</v>
      </c>
      <c r="B91" s="1">
        <v>1216</v>
      </c>
      <c r="C91" s="6">
        <v>45885</v>
      </c>
      <c r="D91" s="1">
        <v>42</v>
      </c>
      <c r="E91" s="1">
        <v>1020000</v>
      </c>
      <c r="F91" s="1" t="s">
        <v>7</v>
      </c>
      <c r="G91" s="1">
        <f>VLOOKUP(B91,candidate!A:E,2,FALSE)</f>
        <v>31</v>
      </c>
      <c r="H91" s="1">
        <f>VLOOKUP(G91,job_openings!A:B,2,FALSE)</f>
        <v>1</v>
      </c>
      <c r="I91" s="1" t="str">
        <f>VLOOKUP(H91,departments!A:B,2,FALSE)</f>
        <v>Engineering</v>
      </c>
      <c r="J91" s="1" t="str">
        <f>VLOOKUP(B91,candidate!A:E,5,FALSE)</f>
        <v>Job Board</v>
      </c>
    </row>
    <row r="92" spans="1:10" x14ac:dyDescent="0.25">
      <c r="A92" s="1">
        <v>256</v>
      </c>
      <c r="B92" s="1">
        <v>1853</v>
      </c>
      <c r="C92" s="6">
        <v>45956</v>
      </c>
      <c r="D92" s="1">
        <v>14</v>
      </c>
      <c r="E92" s="1">
        <v>337000</v>
      </c>
      <c r="F92" s="1" t="s">
        <v>6</v>
      </c>
      <c r="G92" s="1">
        <f>VLOOKUP(B92,candidate!A:E,2,FALSE)</f>
        <v>48</v>
      </c>
      <c r="H92" s="1">
        <f>VLOOKUP(G92,job_openings!A:B,2,FALSE)</f>
        <v>3</v>
      </c>
      <c r="I92" s="1" t="str">
        <f>VLOOKUP(H92,departments!A:B,2,FALSE)</f>
        <v>Customer Support</v>
      </c>
      <c r="J92" s="1" t="str">
        <f>VLOOKUP(B92,candidate!A:E,5,FALSE)</f>
        <v>LinkedIn</v>
      </c>
    </row>
    <row r="93" spans="1:10" x14ac:dyDescent="0.25">
      <c r="A93" s="1">
        <v>240</v>
      </c>
      <c r="B93" s="1">
        <v>1760</v>
      </c>
      <c r="C93" s="6">
        <v>45943</v>
      </c>
      <c r="D93" s="1">
        <v>27</v>
      </c>
      <c r="E93" s="1">
        <v>502000</v>
      </c>
      <c r="F93" s="1" t="s">
        <v>6</v>
      </c>
      <c r="G93" s="1">
        <f>VLOOKUP(B93,candidate!A:E,2,FALSE)</f>
        <v>45</v>
      </c>
      <c r="H93" s="1">
        <f>VLOOKUP(G93,job_openings!A:B,2,FALSE)</f>
        <v>5</v>
      </c>
      <c r="I93" s="1" t="str">
        <f>VLOOKUP(H93,departments!A:B,2,FALSE)</f>
        <v>Marketing</v>
      </c>
      <c r="J93" s="1" t="str">
        <f>VLOOKUP(B93,candidate!A:E,5,FALSE)</f>
        <v>Referral</v>
      </c>
    </row>
    <row r="94" spans="1:10" x14ac:dyDescent="0.25">
      <c r="A94" s="1">
        <v>203</v>
      </c>
      <c r="B94" s="1">
        <v>1463</v>
      </c>
      <c r="C94" s="6">
        <v>45913</v>
      </c>
      <c r="D94" s="1">
        <v>16</v>
      </c>
      <c r="E94" s="1">
        <v>310000</v>
      </c>
      <c r="F94" s="1" t="s">
        <v>6</v>
      </c>
      <c r="G94" s="1">
        <f>VLOOKUP(B94,candidate!A:E,2,FALSE)</f>
        <v>38</v>
      </c>
      <c r="H94" s="1">
        <f>VLOOKUP(G94,job_openings!A:B,2,FALSE)</f>
        <v>3</v>
      </c>
      <c r="I94" s="1" t="str">
        <f>VLOOKUP(H94,departments!A:B,2,FALSE)</f>
        <v>Customer Support</v>
      </c>
      <c r="J94" s="1" t="str">
        <f>VLOOKUP(B94,candidate!A:E,5,FALSE)</f>
        <v>Walk-in</v>
      </c>
    </row>
    <row r="95" spans="1:10" x14ac:dyDescent="0.25">
      <c r="A95" s="1">
        <v>273</v>
      </c>
      <c r="B95" s="1">
        <v>2012</v>
      </c>
      <c r="C95" s="6">
        <v>45979</v>
      </c>
      <c r="D95" s="1">
        <v>14</v>
      </c>
      <c r="E95" s="1">
        <v>293000</v>
      </c>
      <c r="F95" s="1" t="s">
        <v>6</v>
      </c>
      <c r="G95" s="1">
        <f>VLOOKUP(B95,candidate!A:E,2,FALSE)</f>
        <v>53</v>
      </c>
      <c r="H95" s="1">
        <f>VLOOKUP(G95,job_openings!A:B,2,FALSE)</f>
        <v>3</v>
      </c>
      <c r="I95" s="1" t="str">
        <f>VLOOKUP(H95,departments!A:B,2,FALSE)</f>
        <v>Customer Support</v>
      </c>
      <c r="J95" s="1" t="str">
        <f>VLOOKUP(B95,candidate!A:E,5,FALSE)</f>
        <v>Referral</v>
      </c>
    </row>
    <row r="96" spans="1:10" x14ac:dyDescent="0.25">
      <c r="A96" s="1">
        <v>170</v>
      </c>
      <c r="B96" s="1">
        <v>1231</v>
      </c>
      <c r="C96" s="6">
        <v>45877</v>
      </c>
      <c r="D96" s="1">
        <v>22</v>
      </c>
      <c r="E96" s="1">
        <v>631000</v>
      </c>
      <c r="F96" s="1" t="s">
        <v>7</v>
      </c>
      <c r="G96" s="1">
        <f>VLOOKUP(B96,candidate!A:E,2,FALSE)</f>
        <v>32</v>
      </c>
      <c r="H96" s="1">
        <f>VLOOKUP(G96,job_openings!A:B,2,FALSE)</f>
        <v>2</v>
      </c>
      <c r="I96" s="1" t="str">
        <f>VLOOKUP(H96,departments!A:B,2,FALSE)</f>
        <v>Sales</v>
      </c>
      <c r="J96" s="1" t="str">
        <f>VLOOKUP(B96,candidate!A:E,5,FALSE)</f>
        <v>Job Board</v>
      </c>
    </row>
    <row r="97" spans="1:10" x14ac:dyDescent="0.25">
      <c r="A97" s="1">
        <v>217</v>
      </c>
      <c r="B97" s="1">
        <v>1584</v>
      </c>
      <c r="C97" s="6">
        <v>45947</v>
      </c>
      <c r="D97" s="1">
        <v>37</v>
      </c>
      <c r="E97" s="1">
        <v>630000</v>
      </c>
      <c r="F97" s="1" t="s">
        <v>6</v>
      </c>
      <c r="G97" s="1">
        <f>VLOOKUP(B97,candidate!A:E,2,FALSE)</f>
        <v>42</v>
      </c>
      <c r="H97" s="1">
        <f>VLOOKUP(G97,job_openings!A:B,2,FALSE)</f>
        <v>2</v>
      </c>
      <c r="I97" s="1" t="str">
        <f>VLOOKUP(H97,departments!A:B,2,FALSE)</f>
        <v>Sales</v>
      </c>
      <c r="J97" s="1" t="str">
        <f>VLOOKUP(B97,candidate!A:E,5,FALSE)</f>
        <v>Job Board</v>
      </c>
    </row>
    <row r="98" spans="1:10" x14ac:dyDescent="0.25">
      <c r="A98" s="1">
        <v>169</v>
      </c>
      <c r="B98" s="1">
        <v>1230</v>
      </c>
      <c r="C98" s="6">
        <v>45863</v>
      </c>
      <c r="D98" s="1">
        <v>9</v>
      </c>
      <c r="E98" s="1">
        <v>633000</v>
      </c>
      <c r="F98" s="1" t="s">
        <v>6</v>
      </c>
      <c r="G98" s="1">
        <f>VLOOKUP(B98,candidate!A:E,2,FALSE)</f>
        <v>32</v>
      </c>
      <c r="H98" s="1">
        <f>VLOOKUP(G98,job_openings!A:B,2,FALSE)</f>
        <v>2</v>
      </c>
      <c r="I98" s="1" t="str">
        <f>VLOOKUP(H98,departments!A:B,2,FALSE)</f>
        <v>Sales</v>
      </c>
      <c r="J98" s="1" t="str">
        <f>VLOOKUP(B98,candidate!A:E,5,FALSE)</f>
        <v>Walk-in</v>
      </c>
    </row>
    <row r="99" spans="1:10" x14ac:dyDescent="0.25">
      <c r="A99" s="1">
        <v>277</v>
      </c>
      <c r="B99" s="1">
        <v>2074</v>
      </c>
      <c r="C99" s="6">
        <v>46040</v>
      </c>
      <c r="D99" s="1">
        <v>45</v>
      </c>
      <c r="E99" s="1">
        <v>983139.53</v>
      </c>
      <c r="F99" s="1" t="s">
        <v>6</v>
      </c>
      <c r="G99" s="1">
        <f>VLOOKUP(B99,candidate!A:E,2,FALSE)</f>
        <v>56</v>
      </c>
      <c r="H99" s="1">
        <f>VLOOKUP(G99,job_openings!A:B,2,FALSE)</f>
        <v>1</v>
      </c>
      <c r="I99" s="1" t="str">
        <f>VLOOKUP(H99,departments!A:B,2,FALSE)</f>
        <v>Engineering</v>
      </c>
      <c r="J99" s="1" t="str">
        <f>VLOOKUP(B99,candidate!A:E,5,FALSE)</f>
        <v>Job Board</v>
      </c>
    </row>
    <row r="100" spans="1:10" x14ac:dyDescent="0.25">
      <c r="A100" s="1">
        <v>226</v>
      </c>
      <c r="B100" s="1">
        <v>1640</v>
      </c>
      <c r="C100" s="6">
        <v>45931</v>
      </c>
      <c r="D100" s="1">
        <v>19</v>
      </c>
      <c r="E100" s="1">
        <v>325000</v>
      </c>
      <c r="F100" s="1" t="s">
        <v>6</v>
      </c>
      <c r="G100" s="1">
        <f>VLOOKUP(B100,candidate!A:E,2,FALSE)</f>
        <v>43</v>
      </c>
      <c r="H100" s="1">
        <f>VLOOKUP(G100,job_openings!A:B,2,FALSE)</f>
        <v>3</v>
      </c>
      <c r="I100" s="1" t="str">
        <f>VLOOKUP(H100,departments!A:B,2,FALSE)</f>
        <v>Customer Support</v>
      </c>
      <c r="J100" s="1" t="str">
        <f>VLOOKUP(B100,candidate!A:E,5,FALSE)</f>
        <v>LinkedIn</v>
      </c>
    </row>
    <row r="101" spans="1:10" x14ac:dyDescent="0.25">
      <c r="A101" s="1">
        <v>159</v>
      </c>
      <c r="B101" s="1">
        <v>1143</v>
      </c>
      <c r="C101" s="6">
        <v>45845</v>
      </c>
      <c r="D101" s="1">
        <v>30</v>
      </c>
      <c r="E101" s="1">
        <v>357000</v>
      </c>
      <c r="F101" s="1" t="s">
        <v>6</v>
      </c>
      <c r="G101" s="1">
        <f>VLOOKUP(B101,candidate!A:E,2,FALSE)</f>
        <v>28</v>
      </c>
      <c r="H101" s="1">
        <f>VLOOKUP(G101,job_openings!A:B,2,FALSE)</f>
        <v>3</v>
      </c>
      <c r="I101" s="1" t="str">
        <f>VLOOKUP(H101,departments!A:B,2,FALSE)</f>
        <v>Customer Support</v>
      </c>
      <c r="J101" s="1" t="str">
        <f>VLOOKUP(B101,candidate!A:E,5,FALSE)</f>
        <v>Referral</v>
      </c>
    </row>
    <row r="102" spans="1:10" x14ac:dyDescent="0.25">
      <c r="A102" s="1">
        <v>210</v>
      </c>
      <c r="B102" s="1">
        <v>1526</v>
      </c>
      <c r="C102" s="6">
        <v>45908</v>
      </c>
      <c r="D102" s="1">
        <v>36</v>
      </c>
      <c r="E102" s="1">
        <v>451000</v>
      </c>
      <c r="F102" s="1" t="s">
        <v>6</v>
      </c>
      <c r="G102" s="1">
        <f>VLOOKUP(B102,candidate!A:E,2,FALSE)</f>
        <v>39</v>
      </c>
      <c r="H102" s="1">
        <f>VLOOKUP(G102,job_openings!A:B,2,FALSE)</f>
        <v>4</v>
      </c>
      <c r="I102" s="1" t="str">
        <f>VLOOKUP(H102,departments!A:B,2,FALSE)</f>
        <v>Operations</v>
      </c>
      <c r="J102" s="1" t="str">
        <f>VLOOKUP(B102,candidate!A:E,5,FALSE)</f>
        <v>Referral</v>
      </c>
    </row>
    <row r="103" spans="1:10" x14ac:dyDescent="0.25">
      <c r="A103" s="1">
        <v>245</v>
      </c>
      <c r="B103" s="1">
        <v>1813</v>
      </c>
      <c r="C103" s="6">
        <v>45959</v>
      </c>
      <c r="D103" s="1">
        <v>25</v>
      </c>
      <c r="E103" s="1">
        <v>567000</v>
      </c>
      <c r="F103" s="1" t="s">
        <v>6</v>
      </c>
      <c r="G103" s="1">
        <f>VLOOKUP(B103,candidate!A:E,2,FALSE)</f>
        <v>47</v>
      </c>
      <c r="H103" s="1">
        <f>VLOOKUP(G103,job_openings!A:B,2,FALSE)</f>
        <v>2</v>
      </c>
      <c r="I103" s="1" t="str">
        <f>VLOOKUP(H103,departments!A:B,2,FALSE)</f>
        <v>Sales</v>
      </c>
      <c r="J103" s="1" t="str">
        <f>VLOOKUP(B103,candidate!A:E,5,FALSE)</f>
        <v>Walk-in</v>
      </c>
    </row>
    <row r="104" spans="1:10" x14ac:dyDescent="0.25">
      <c r="A104" s="1">
        <v>234</v>
      </c>
      <c r="B104" s="1">
        <v>1659</v>
      </c>
      <c r="C104" s="6">
        <v>45947</v>
      </c>
      <c r="D104" s="1">
        <v>25</v>
      </c>
      <c r="E104" s="1">
        <v>373000</v>
      </c>
      <c r="F104" s="1" t="s">
        <v>6</v>
      </c>
      <c r="G104" s="1">
        <f>VLOOKUP(B104,candidate!A:E,2,FALSE)</f>
        <v>43</v>
      </c>
      <c r="H104" s="1">
        <f>VLOOKUP(G104,job_openings!A:B,2,FALSE)</f>
        <v>3</v>
      </c>
      <c r="I104" s="1" t="str">
        <f>VLOOKUP(H104,departments!A:B,2,FALSE)</f>
        <v>Customer Support</v>
      </c>
      <c r="J104" s="1" t="str">
        <f>VLOOKUP(B104,candidate!A:E,5,FALSE)</f>
        <v>Walk-in</v>
      </c>
    </row>
    <row r="105" spans="1:10" x14ac:dyDescent="0.25">
      <c r="A105" s="1">
        <v>212</v>
      </c>
      <c r="B105" s="1">
        <v>1553</v>
      </c>
      <c r="C105" s="6">
        <v>45901</v>
      </c>
      <c r="D105" s="1">
        <v>31</v>
      </c>
      <c r="E105" s="1">
        <v>464000</v>
      </c>
      <c r="F105" s="1" t="s">
        <v>7</v>
      </c>
      <c r="G105" s="1">
        <f>VLOOKUP(B105,candidate!A:E,2,FALSE)</f>
        <v>40</v>
      </c>
      <c r="H105" s="1">
        <f>VLOOKUP(G105,job_openings!A:B,2,FALSE)</f>
        <v>5</v>
      </c>
      <c r="I105" s="1" t="str">
        <f>VLOOKUP(H105,departments!A:B,2,FALSE)</f>
        <v>Marketing</v>
      </c>
      <c r="J105" s="1" t="str">
        <f>VLOOKUP(B105,candidate!A:E,5,FALSE)</f>
        <v>LinkedIn</v>
      </c>
    </row>
    <row r="106" spans="1:10" x14ac:dyDescent="0.25">
      <c r="A106" s="1">
        <v>92</v>
      </c>
      <c r="B106" s="1">
        <v>664</v>
      </c>
      <c r="C106" s="6">
        <v>45762</v>
      </c>
      <c r="D106" s="1">
        <v>7</v>
      </c>
      <c r="E106" s="1">
        <v>540000</v>
      </c>
      <c r="F106" s="1" t="s">
        <v>6</v>
      </c>
      <c r="G106" s="1">
        <f>VLOOKUP(B106,candidate!A:E,2,FALSE)</f>
        <v>17</v>
      </c>
      <c r="H106" s="1">
        <f>VLOOKUP(G106,job_openings!A:B,2,FALSE)</f>
        <v>2</v>
      </c>
      <c r="I106" s="1" t="str">
        <f>VLOOKUP(H106,departments!A:B,2,FALSE)</f>
        <v>Sales</v>
      </c>
      <c r="J106" s="1" t="str">
        <f>VLOOKUP(B106,candidate!A:E,5,FALSE)</f>
        <v>Job Board</v>
      </c>
    </row>
    <row r="107" spans="1:10" x14ac:dyDescent="0.25">
      <c r="A107" s="1">
        <v>243</v>
      </c>
      <c r="B107" s="1">
        <v>1797</v>
      </c>
      <c r="C107" s="6">
        <v>45977</v>
      </c>
      <c r="D107" s="1">
        <v>37</v>
      </c>
      <c r="E107" s="1">
        <v>1134000</v>
      </c>
      <c r="F107" s="1" t="s">
        <v>6</v>
      </c>
      <c r="G107" s="1">
        <f>VLOOKUP(B107,candidate!A:E,2,FALSE)</f>
        <v>46</v>
      </c>
      <c r="H107" s="1">
        <f>VLOOKUP(G107,job_openings!A:B,2,FALSE)</f>
        <v>1</v>
      </c>
      <c r="I107" s="1" t="str">
        <f>VLOOKUP(H107,departments!A:B,2,FALSE)</f>
        <v>Engineering</v>
      </c>
      <c r="J107" s="1" t="str">
        <f>VLOOKUP(B107,candidate!A:E,5,FALSE)</f>
        <v>Job Board</v>
      </c>
    </row>
    <row r="108" spans="1:10" x14ac:dyDescent="0.25">
      <c r="A108" s="1">
        <v>131</v>
      </c>
      <c r="B108" s="1">
        <v>928</v>
      </c>
      <c r="C108" s="6">
        <v>45805</v>
      </c>
      <c r="D108" s="1">
        <v>5</v>
      </c>
      <c r="E108" s="1">
        <v>377000</v>
      </c>
      <c r="F108" s="1" t="s">
        <v>6</v>
      </c>
      <c r="G108" s="1">
        <f>VLOOKUP(B108,candidate!A:E,2,FALSE)</f>
        <v>23</v>
      </c>
      <c r="H108" s="1">
        <f>VLOOKUP(G108,job_openings!A:B,2,FALSE)</f>
        <v>3</v>
      </c>
      <c r="I108" s="1" t="str">
        <f>VLOOKUP(H108,departments!A:B,2,FALSE)</f>
        <v>Customer Support</v>
      </c>
      <c r="J108" s="1" t="str">
        <f>VLOOKUP(B108,candidate!A:E,5,FALSE)</f>
        <v>Job Board</v>
      </c>
    </row>
    <row r="109" spans="1:10" x14ac:dyDescent="0.25">
      <c r="A109" s="1">
        <v>189</v>
      </c>
      <c r="B109" s="1">
        <v>1377</v>
      </c>
      <c r="C109" s="6">
        <v>45892</v>
      </c>
      <c r="D109" s="1">
        <v>32</v>
      </c>
      <c r="E109" s="1">
        <v>491000</v>
      </c>
      <c r="F109" s="1" t="s">
        <v>7</v>
      </c>
      <c r="G109" s="1">
        <f>VLOOKUP(B109,candidate!A:E,2,FALSE)</f>
        <v>35</v>
      </c>
      <c r="H109" s="1">
        <f>VLOOKUP(G109,job_openings!A:B,2,FALSE)</f>
        <v>5</v>
      </c>
      <c r="I109" s="1" t="str">
        <f>VLOOKUP(H109,departments!A:B,2,FALSE)</f>
        <v>Marketing</v>
      </c>
      <c r="J109" s="1" t="str">
        <f>VLOOKUP(B109,candidate!A:E,5,FALSE)</f>
        <v>Job Board</v>
      </c>
    </row>
    <row r="110" spans="1:10" x14ac:dyDescent="0.25">
      <c r="A110" s="1">
        <v>88</v>
      </c>
      <c r="B110" s="1">
        <v>646</v>
      </c>
      <c r="C110" s="6">
        <v>45798</v>
      </c>
      <c r="D110" s="1">
        <v>43</v>
      </c>
      <c r="E110" s="1">
        <v>909000</v>
      </c>
      <c r="F110" s="1" t="s">
        <v>7</v>
      </c>
      <c r="G110" s="1">
        <f>VLOOKUP(B110,candidate!A:E,2,FALSE)</f>
        <v>16</v>
      </c>
      <c r="H110" s="1">
        <f>VLOOKUP(G110,job_openings!A:B,2,FALSE)</f>
        <v>1</v>
      </c>
      <c r="I110" s="1" t="str">
        <f>VLOOKUP(H110,departments!A:B,2,FALSE)</f>
        <v>Engineering</v>
      </c>
      <c r="J110" s="1" t="str">
        <f>VLOOKUP(B110,candidate!A:E,5,FALSE)</f>
        <v>Walk-in</v>
      </c>
    </row>
    <row r="111" spans="1:10" x14ac:dyDescent="0.25">
      <c r="A111" s="1">
        <v>120</v>
      </c>
      <c r="B111" s="1">
        <v>883</v>
      </c>
      <c r="C111" s="6">
        <v>45828</v>
      </c>
      <c r="D111" s="1">
        <v>30</v>
      </c>
      <c r="E111" s="1">
        <v>579000</v>
      </c>
      <c r="F111" s="1" t="s">
        <v>6</v>
      </c>
      <c r="G111" s="1">
        <f>VLOOKUP(B111,candidate!A:E,2,FALSE)</f>
        <v>22</v>
      </c>
      <c r="H111" s="1">
        <f>VLOOKUP(G111,job_openings!A:B,2,FALSE)</f>
        <v>2</v>
      </c>
      <c r="I111" s="1" t="str">
        <f>VLOOKUP(H111,departments!A:B,2,FALSE)</f>
        <v>Sales</v>
      </c>
      <c r="J111" s="1" t="str">
        <f>VLOOKUP(B111,candidate!A:E,5,FALSE)</f>
        <v>Referral</v>
      </c>
    </row>
    <row r="112" spans="1:10" x14ac:dyDescent="0.25">
      <c r="A112" s="1">
        <v>163</v>
      </c>
      <c r="B112" s="1">
        <v>1170</v>
      </c>
      <c r="C112" s="6">
        <v>45843</v>
      </c>
      <c r="D112" s="1">
        <v>22</v>
      </c>
      <c r="E112" s="1">
        <v>454000</v>
      </c>
      <c r="F112" s="1" t="s">
        <v>6</v>
      </c>
      <c r="G112" s="1">
        <f>VLOOKUP(B112,candidate!A:E,2,FALSE)</f>
        <v>29</v>
      </c>
      <c r="H112" s="1">
        <f>VLOOKUP(G112,job_openings!A:B,2,FALSE)</f>
        <v>4</v>
      </c>
      <c r="I112" s="1" t="str">
        <f>VLOOKUP(H112,departments!A:B,2,FALSE)</f>
        <v>Operations</v>
      </c>
      <c r="J112" s="1" t="str">
        <f>VLOOKUP(B112,candidate!A:E,5,FALSE)</f>
        <v>Referral</v>
      </c>
    </row>
    <row r="113" spans="1:10" x14ac:dyDescent="0.25">
      <c r="A113" s="1">
        <v>19</v>
      </c>
      <c r="B113" s="1">
        <v>112</v>
      </c>
      <c r="C113" s="6">
        <v>45676</v>
      </c>
      <c r="D113" s="1">
        <v>10</v>
      </c>
      <c r="E113" s="1">
        <v>345000</v>
      </c>
      <c r="F113" s="1" t="s">
        <v>6</v>
      </c>
      <c r="G113" s="1">
        <f>VLOOKUP(B113,candidate!A:E,2,FALSE)</f>
        <v>3</v>
      </c>
      <c r="H113" s="1">
        <f>VLOOKUP(G113,job_openings!A:B,2,FALSE)</f>
        <v>3</v>
      </c>
      <c r="I113" s="1" t="str">
        <f>VLOOKUP(H113,departments!A:B,2,FALSE)</f>
        <v>Customer Support</v>
      </c>
      <c r="J113" s="1" t="str">
        <f>VLOOKUP(B113,candidate!A:E,5,FALSE)</f>
        <v>Job Board</v>
      </c>
    </row>
    <row r="114" spans="1:10" x14ac:dyDescent="0.25">
      <c r="A114" s="1">
        <v>219</v>
      </c>
      <c r="B114" s="1">
        <v>1600</v>
      </c>
      <c r="C114" s="6">
        <v>45925</v>
      </c>
      <c r="D114" s="1">
        <v>22</v>
      </c>
      <c r="E114" s="1">
        <v>559000</v>
      </c>
      <c r="F114" s="1" t="s">
        <v>7</v>
      </c>
      <c r="G114" s="1">
        <f>VLOOKUP(B114,candidate!A:E,2,FALSE)</f>
        <v>42</v>
      </c>
      <c r="H114" s="1">
        <f>VLOOKUP(G114,job_openings!A:B,2,FALSE)</f>
        <v>2</v>
      </c>
      <c r="I114" s="1" t="str">
        <f>VLOOKUP(H114,departments!A:B,2,FALSE)</f>
        <v>Sales</v>
      </c>
      <c r="J114" s="1" t="str">
        <f>VLOOKUP(B114,candidate!A:E,5,FALSE)</f>
        <v>Job Board</v>
      </c>
    </row>
    <row r="115" spans="1:10" x14ac:dyDescent="0.25">
      <c r="A115" s="1">
        <v>84</v>
      </c>
      <c r="B115" s="1">
        <v>596</v>
      </c>
      <c r="C115" s="6">
        <v>45761</v>
      </c>
      <c r="D115" s="1">
        <v>30</v>
      </c>
      <c r="E115" s="1">
        <v>367000</v>
      </c>
      <c r="F115" s="1" t="s">
        <v>6</v>
      </c>
      <c r="G115" s="1">
        <f>VLOOKUP(B115,candidate!A:E,2,FALSE)</f>
        <v>14</v>
      </c>
      <c r="H115" s="1">
        <f>VLOOKUP(G115,job_openings!A:B,2,FALSE)</f>
        <v>4</v>
      </c>
      <c r="I115" s="1" t="str">
        <f>VLOOKUP(H115,departments!A:B,2,FALSE)</f>
        <v>Operations</v>
      </c>
      <c r="J115" s="1" t="str">
        <f>VLOOKUP(B115,candidate!A:E,5,FALSE)</f>
        <v>LinkedIn</v>
      </c>
    </row>
    <row r="116" spans="1:10" x14ac:dyDescent="0.25">
      <c r="A116" s="1">
        <v>227</v>
      </c>
      <c r="B116" s="1">
        <v>1645</v>
      </c>
      <c r="C116" s="6">
        <v>45927</v>
      </c>
      <c r="D116" s="1">
        <v>13</v>
      </c>
      <c r="E116" s="1">
        <v>362000</v>
      </c>
      <c r="F116" s="1" t="s">
        <v>7</v>
      </c>
      <c r="G116" s="1">
        <f>VLOOKUP(B116,candidate!A:E,2,FALSE)</f>
        <v>43</v>
      </c>
      <c r="H116" s="1">
        <f>VLOOKUP(G116,job_openings!A:B,2,FALSE)</f>
        <v>3</v>
      </c>
      <c r="I116" s="1" t="str">
        <f>VLOOKUP(H116,departments!A:B,2,FALSE)</f>
        <v>Customer Support</v>
      </c>
      <c r="J116" s="1" t="str">
        <f>VLOOKUP(B116,candidate!A:E,5,FALSE)</f>
        <v>Job Board</v>
      </c>
    </row>
    <row r="117" spans="1:10" x14ac:dyDescent="0.25">
      <c r="A117" s="1">
        <v>48</v>
      </c>
      <c r="B117" s="1">
        <v>346</v>
      </c>
      <c r="C117" s="6">
        <v>45707</v>
      </c>
      <c r="D117" s="1">
        <v>9</v>
      </c>
      <c r="E117" s="1">
        <v>331000</v>
      </c>
      <c r="F117" s="1" t="s">
        <v>6</v>
      </c>
      <c r="G117" s="1">
        <f>VLOOKUP(B117,candidate!A:E,2,FALSE)</f>
        <v>8</v>
      </c>
      <c r="H117" s="1">
        <f>VLOOKUP(G117,job_openings!A:B,2,FALSE)</f>
        <v>3</v>
      </c>
      <c r="I117" s="1" t="str">
        <f>VLOOKUP(H117,departments!A:B,2,FALSE)</f>
        <v>Customer Support</v>
      </c>
      <c r="J117" s="1" t="str">
        <f>VLOOKUP(B117,candidate!A:E,5,FALSE)</f>
        <v>LinkedIn</v>
      </c>
    </row>
    <row r="118" spans="1:10" x14ac:dyDescent="0.25">
      <c r="A118" s="1">
        <v>114</v>
      </c>
      <c r="B118" s="1">
        <v>824</v>
      </c>
      <c r="C118" s="6">
        <v>45774</v>
      </c>
      <c r="D118" s="1">
        <v>17</v>
      </c>
      <c r="E118" s="1">
        <v>524000</v>
      </c>
      <c r="F118" s="1" t="s">
        <v>6</v>
      </c>
      <c r="G118" s="1">
        <f>VLOOKUP(B118,candidate!A:E,2,FALSE)</f>
        <v>20</v>
      </c>
      <c r="H118" s="1">
        <f>VLOOKUP(G118,job_openings!A:B,2,FALSE)</f>
        <v>5</v>
      </c>
      <c r="I118" s="1" t="str">
        <f>VLOOKUP(H118,departments!A:B,2,FALSE)</f>
        <v>Marketing</v>
      </c>
      <c r="J118" s="1" t="str">
        <f>VLOOKUP(B118,candidate!A:E,5,FALSE)</f>
        <v>Job Board</v>
      </c>
    </row>
    <row r="119" spans="1:10" x14ac:dyDescent="0.25">
      <c r="A119" s="1">
        <v>79</v>
      </c>
      <c r="B119" s="1">
        <v>542</v>
      </c>
      <c r="C119" s="6">
        <v>45737</v>
      </c>
      <c r="D119" s="1">
        <v>12</v>
      </c>
      <c r="E119" s="1">
        <v>394000</v>
      </c>
      <c r="F119" s="1" t="s">
        <v>6</v>
      </c>
      <c r="G119" s="1">
        <f>VLOOKUP(B119,candidate!A:E,2,FALSE)</f>
        <v>13</v>
      </c>
      <c r="H119" s="1">
        <f>VLOOKUP(G119,job_openings!A:B,2,FALSE)</f>
        <v>3</v>
      </c>
      <c r="I119" s="1" t="str">
        <f>VLOOKUP(H119,departments!A:B,2,FALSE)</f>
        <v>Customer Support</v>
      </c>
      <c r="J119" s="1" t="str">
        <f>VLOOKUP(B119,candidate!A:E,5,FALSE)</f>
        <v>LinkedIn</v>
      </c>
    </row>
    <row r="120" spans="1:10" x14ac:dyDescent="0.25">
      <c r="A120" s="1">
        <v>181</v>
      </c>
      <c r="B120" s="1">
        <v>1289</v>
      </c>
      <c r="C120" s="6">
        <v>45858</v>
      </c>
      <c r="D120" s="1">
        <v>16</v>
      </c>
      <c r="E120" s="1">
        <v>336000</v>
      </c>
      <c r="F120" s="1" t="s">
        <v>6</v>
      </c>
      <c r="G120" s="1">
        <f>VLOOKUP(B120,candidate!A:E,2,FALSE)</f>
        <v>33</v>
      </c>
      <c r="H120" s="1">
        <f>VLOOKUP(G120,job_openings!A:B,2,FALSE)</f>
        <v>3</v>
      </c>
      <c r="I120" s="1" t="str">
        <f>VLOOKUP(H120,departments!A:B,2,FALSE)</f>
        <v>Customer Support</v>
      </c>
      <c r="J120" s="1" t="str">
        <f>VLOOKUP(B120,candidate!A:E,5,FALSE)</f>
        <v>LinkedIn</v>
      </c>
    </row>
    <row r="121" spans="1:10" x14ac:dyDescent="0.25">
      <c r="A121" s="1">
        <v>67</v>
      </c>
      <c r="B121" s="1">
        <v>489</v>
      </c>
      <c r="C121" s="6">
        <v>45746</v>
      </c>
      <c r="D121" s="1">
        <v>24</v>
      </c>
      <c r="E121" s="1">
        <v>504000</v>
      </c>
      <c r="F121" s="1" t="s">
        <v>6</v>
      </c>
      <c r="G121" s="1">
        <f>VLOOKUP(B121,candidate!A:E,2,FALSE)</f>
        <v>12</v>
      </c>
      <c r="H121" s="1">
        <f>VLOOKUP(G121,job_openings!A:B,2,FALSE)</f>
        <v>2</v>
      </c>
      <c r="I121" s="1" t="str">
        <f>VLOOKUP(H121,departments!A:B,2,FALSE)</f>
        <v>Sales</v>
      </c>
      <c r="J121" s="1" t="str">
        <f>VLOOKUP(B121,candidate!A:E,5,FALSE)</f>
        <v>Job Board</v>
      </c>
    </row>
    <row r="122" spans="1:10" x14ac:dyDescent="0.25">
      <c r="A122" s="1">
        <v>35</v>
      </c>
      <c r="B122" s="1">
        <v>283</v>
      </c>
      <c r="C122" s="6">
        <v>45711</v>
      </c>
      <c r="D122" s="1">
        <v>22</v>
      </c>
      <c r="E122" s="1">
        <v>476000</v>
      </c>
      <c r="F122" s="1" t="s">
        <v>7</v>
      </c>
      <c r="G122" s="1">
        <f>VLOOKUP(B122,candidate!A:E,2,FALSE)</f>
        <v>7</v>
      </c>
      <c r="H122" s="1">
        <f>VLOOKUP(G122,job_openings!A:B,2,FALSE)</f>
        <v>2</v>
      </c>
      <c r="I122" s="1" t="str">
        <f>VLOOKUP(H122,departments!A:B,2,FALSE)</f>
        <v>Sales</v>
      </c>
      <c r="J122" s="1" t="str">
        <f>VLOOKUP(B122,candidate!A:E,5,FALSE)</f>
        <v>LinkedIn</v>
      </c>
    </row>
    <row r="123" spans="1:10" x14ac:dyDescent="0.25">
      <c r="A123" s="1">
        <v>174</v>
      </c>
      <c r="B123" s="1">
        <v>1238</v>
      </c>
      <c r="C123" s="6">
        <v>45881</v>
      </c>
      <c r="D123" s="1">
        <v>19</v>
      </c>
      <c r="E123" s="1">
        <v>501000</v>
      </c>
      <c r="F123" s="1" t="s">
        <v>6</v>
      </c>
      <c r="G123" s="1">
        <f>VLOOKUP(B123,candidate!A:E,2,FALSE)</f>
        <v>32</v>
      </c>
      <c r="H123" s="1">
        <f>VLOOKUP(G123,job_openings!A:B,2,FALSE)</f>
        <v>2</v>
      </c>
      <c r="I123" s="1" t="str">
        <f>VLOOKUP(H123,departments!A:B,2,FALSE)</f>
        <v>Sales</v>
      </c>
      <c r="J123" s="1" t="str">
        <f>VLOOKUP(B123,candidate!A:E,5,FALSE)</f>
        <v>Referral</v>
      </c>
    </row>
    <row r="124" spans="1:10" x14ac:dyDescent="0.25">
      <c r="A124" s="1">
        <v>141</v>
      </c>
      <c r="B124" s="1">
        <v>987</v>
      </c>
      <c r="C124" s="6">
        <v>45818</v>
      </c>
      <c r="D124" s="1">
        <v>31</v>
      </c>
      <c r="E124" s="1">
        <v>447000</v>
      </c>
      <c r="F124" s="1" t="s">
        <v>7</v>
      </c>
      <c r="G124" s="1">
        <f>VLOOKUP(B124,candidate!A:E,2,FALSE)</f>
        <v>25</v>
      </c>
      <c r="H124" s="1">
        <f>VLOOKUP(G124,job_openings!A:B,2,FALSE)</f>
        <v>5</v>
      </c>
      <c r="I124" s="1" t="str">
        <f>VLOOKUP(H124,departments!A:B,2,FALSE)</f>
        <v>Marketing</v>
      </c>
      <c r="J124" s="1" t="str">
        <f>VLOOKUP(B124,candidate!A:E,5,FALSE)</f>
        <v>LinkedIn</v>
      </c>
    </row>
    <row r="125" spans="1:10" x14ac:dyDescent="0.25">
      <c r="A125" s="1">
        <v>157</v>
      </c>
      <c r="B125" s="1">
        <v>1108</v>
      </c>
      <c r="C125" s="6">
        <v>45859</v>
      </c>
      <c r="D125" s="1">
        <v>26</v>
      </c>
      <c r="E125" s="1">
        <v>350000</v>
      </c>
      <c r="F125" s="1" t="s">
        <v>6</v>
      </c>
      <c r="G125" s="1">
        <f>VLOOKUP(B125,candidate!A:E,2,FALSE)</f>
        <v>28</v>
      </c>
      <c r="H125" s="1">
        <f>VLOOKUP(G125,job_openings!A:B,2,FALSE)</f>
        <v>3</v>
      </c>
      <c r="I125" s="1" t="str">
        <f>VLOOKUP(H125,departments!A:B,2,FALSE)</f>
        <v>Customer Support</v>
      </c>
      <c r="J125" s="1" t="str">
        <f>VLOOKUP(B125,candidate!A:E,5,FALSE)</f>
        <v>Referral</v>
      </c>
    </row>
    <row r="126" spans="1:10" x14ac:dyDescent="0.25">
      <c r="A126" s="1">
        <v>93</v>
      </c>
      <c r="B126" s="1">
        <v>677</v>
      </c>
      <c r="C126" s="6">
        <v>45788</v>
      </c>
      <c r="D126" s="1">
        <v>27</v>
      </c>
      <c r="E126" s="1">
        <v>513000</v>
      </c>
      <c r="F126" s="1" t="s">
        <v>6</v>
      </c>
      <c r="G126" s="1">
        <f>VLOOKUP(B126,candidate!A:E,2,FALSE)</f>
        <v>17</v>
      </c>
      <c r="H126" s="1">
        <f>VLOOKUP(G126,job_openings!A:B,2,FALSE)</f>
        <v>2</v>
      </c>
      <c r="I126" s="1" t="str">
        <f>VLOOKUP(H126,departments!A:B,2,FALSE)</f>
        <v>Sales</v>
      </c>
      <c r="J126" s="1" t="str">
        <f>VLOOKUP(B126,candidate!A:E,5,FALSE)</f>
        <v>Walk-in</v>
      </c>
    </row>
    <row r="127" spans="1:10" x14ac:dyDescent="0.25">
      <c r="A127" s="1">
        <v>264</v>
      </c>
      <c r="B127" s="1">
        <v>1956</v>
      </c>
      <c r="C127" s="6">
        <v>46014</v>
      </c>
      <c r="D127" s="1">
        <v>26</v>
      </c>
      <c r="E127" s="1">
        <v>1174000</v>
      </c>
      <c r="F127" s="1" t="s">
        <v>7</v>
      </c>
      <c r="G127" s="1">
        <f>VLOOKUP(B127,candidate!A:E,2,FALSE)</f>
        <v>51</v>
      </c>
      <c r="H127" s="1">
        <f>VLOOKUP(G127,job_openings!A:B,2,FALSE)</f>
        <v>1</v>
      </c>
      <c r="I127" s="1" t="str">
        <f>VLOOKUP(H127,departments!A:B,2,FALSE)</f>
        <v>Engineering</v>
      </c>
      <c r="J127" s="1" t="str">
        <f>VLOOKUP(B127,candidate!A:E,5,FALSE)</f>
        <v>Job Board</v>
      </c>
    </row>
    <row r="128" spans="1:10" x14ac:dyDescent="0.25">
      <c r="A128" s="1">
        <v>56</v>
      </c>
      <c r="B128" s="1">
        <v>421</v>
      </c>
      <c r="C128" s="6">
        <v>45726</v>
      </c>
      <c r="D128" s="1">
        <v>20</v>
      </c>
      <c r="E128" s="1">
        <v>533000</v>
      </c>
      <c r="F128" s="1" t="s">
        <v>6</v>
      </c>
      <c r="G128" s="1">
        <f>VLOOKUP(B128,candidate!A:E,2,FALSE)</f>
        <v>10</v>
      </c>
      <c r="H128" s="1">
        <f>VLOOKUP(G128,job_openings!A:B,2,FALSE)</f>
        <v>5</v>
      </c>
      <c r="I128" s="1" t="str">
        <f>VLOOKUP(H128,departments!A:B,2,FALSE)</f>
        <v>Marketing</v>
      </c>
      <c r="J128" s="1" t="str">
        <f>VLOOKUP(B128,candidate!A:E,5,FALSE)</f>
        <v>LinkedIn</v>
      </c>
    </row>
    <row r="129" spans="1:10" x14ac:dyDescent="0.25">
      <c r="A129" s="1">
        <v>31</v>
      </c>
      <c r="B129" s="1">
        <v>247</v>
      </c>
      <c r="C129" s="6">
        <v>45738</v>
      </c>
      <c r="D129" s="1">
        <v>39</v>
      </c>
      <c r="E129" s="1">
        <v>829000</v>
      </c>
      <c r="F129" s="1" t="s">
        <v>6</v>
      </c>
      <c r="G129" s="1">
        <f>VLOOKUP(B129,candidate!A:E,2,FALSE)</f>
        <v>6</v>
      </c>
      <c r="H129" s="1">
        <f>VLOOKUP(G129,job_openings!A:B,2,FALSE)</f>
        <v>1</v>
      </c>
      <c r="I129" s="1" t="str">
        <f>VLOOKUP(H129,departments!A:B,2,FALSE)</f>
        <v>Engineering</v>
      </c>
      <c r="J129" s="1" t="str">
        <f>VLOOKUP(B129,candidate!A:E,5,FALSE)</f>
        <v>Referral</v>
      </c>
    </row>
    <row r="130" spans="1:10" x14ac:dyDescent="0.25">
      <c r="A130" s="1">
        <v>76</v>
      </c>
      <c r="B130" s="1">
        <v>529</v>
      </c>
      <c r="C130" s="6">
        <v>45762</v>
      </c>
      <c r="D130" s="1">
        <v>19</v>
      </c>
      <c r="E130" s="1">
        <v>273000</v>
      </c>
      <c r="F130" s="1" t="s">
        <v>6</v>
      </c>
      <c r="G130" s="1">
        <f>VLOOKUP(B130,candidate!A:E,2,FALSE)</f>
        <v>13</v>
      </c>
      <c r="H130" s="1">
        <f>VLOOKUP(G130,job_openings!A:B,2,FALSE)</f>
        <v>3</v>
      </c>
      <c r="I130" s="1" t="str">
        <f>VLOOKUP(H130,departments!A:B,2,FALSE)</f>
        <v>Customer Support</v>
      </c>
      <c r="J130" s="1" t="str">
        <f>VLOOKUP(B130,candidate!A:E,5,FALSE)</f>
        <v>LinkedIn</v>
      </c>
    </row>
    <row r="131" spans="1:10" x14ac:dyDescent="0.25">
      <c r="A131" s="1">
        <v>3</v>
      </c>
      <c r="B131" s="1">
        <v>5</v>
      </c>
      <c r="C131" s="6">
        <v>45720</v>
      </c>
      <c r="D131" s="1">
        <v>38</v>
      </c>
      <c r="E131" s="1">
        <v>1012000</v>
      </c>
      <c r="F131" s="1" t="s">
        <v>6</v>
      </c>
      <c r="G131" s="1">
        <f>VLOOKUP(B131,candidate!A:E,2,FALSE)</f>
        <v>1</v>
      </c>
      <c r="H131" s="1">
        <f>VLOOKUP(G131,job_openings!A:B,2,FALSE)</f>
        <v>1</v>
      </c>
      <c r="I131" s="1" t="str">
        <f>VLOOKUP(H131,departments!A:B,2,FALSE)</f>
        <v>Engineering</v>
      </c>
      <c r="J131" s="1" t="str">
        <f>VLOOKUP(B131,candidate!A:E,5,FALSE)</f>
        <v>Walk-in</v>
      </c>
    </row>
    <row r="132" spans="1:10" x14ac:dyDescent="0.25">
      <c r="A132" s="1">
        <v>103</v>
      </c>
      <c r="B132" s="1">
        <v>715</v>
      </c>
      <c r="C132" s="6">
        <v>45773</v>
      </c>
      <c r="D132" s="1">
        <v>16</v>
      </c>
      <c r="E132" s="1">
        <v>300000</v>
      </c>
      <c r="F132" s="1" t="s">
        <v>6</v>
      </c>
      <c r="G132" s="1">
        <f>VLOOKUP(B132,candidate!A:E,2,FALSE)</f>
        <v>18</v>
      </c>
      <c r="H132" s="1">
        <f>VLOOKUP(G132,job_openings!A:B,2,FALSE)</f>
        <v>3</v>
      </c>
      <c r="I132" s="1" t="str">
        <f>VLOOKUP(H132,departments!A:B,2,FALSE)</f>
        <v>Customer Support</v>
      </c>
      <c r="J132" s="1" t="str">
        <f>VLOOKUP(B132,candidate!A:E,5,FALSE)</f>
        <v>Referral</v>
      </c>
    </row>
    <row r="133" spans="1:10" x14ac:dyDescent="0.25">
      <c r="A133" s="1">
        <v>108</v>
      </c>
      <c r="B133" s="1">
        <v>780</v>
      </c>
      <c r="C133" s="6">
        <v>45801</v>
      </c>
      <c r="D133" s="1">
        <v>33</v>
      </c>
      <c r="E133" s="1">
        <v>456000</v>
      </c>
      <c r="F133" s="1" t="s">
        <v>7</v>
      </c>
      <c r="G133" s="1">
        <f>VLOOKUP(B133,candidate!A:E,2,FALSE)</f>
        <v>19</v>
      </c>
      <c r="H133" s="1">
        <f>VLOOKUP(G133,job_openings!A:B,2,FALSE)</f>
        <v>4</v>
      </c>
      <c r="I133" s="1" t="str">
        <f>VLOOKUP(H133,departments!A:B,2,FALSE)</f>
        <v>Operations</v>
      </c>
      <c r="J133" s="1" t="str">
        <f>VLOOKUP(B133,candidate!A:E,5,FALSE)</f>
        <v>Job Board</v>
      </c>
    </row>
    <row r="134" spans="1:10" x14ac:dyDescent="0.25">
      <c r="A134" s="1">
        <v>36</v>
      </c>
      <c r="B134" s="1">
        <v>285</v>
      </c>
      <c r="C134" s="6">
        <v>45717</v>
      </c>
      <c r="D134" s="1">
        <v>28</v>
      </c>
      <c r="E134" s="1">
        <v>500000</v>
      </c>
      <c r="F134" s="1" t="s">
        <v>7</v>
      </c>
      <c r="G134" s="1">
        <f>VLOOKUP(B134,candidate!A:E,2,FALSE)</f>
        <v>7</v>
      </c>
      <c r="H134" s="1">
        <f>VLOOKUP(G134,job_openings!A:B,2,FALSE)</f>
        <v>2</v>
      </c>
      <c r="I134" s="1" t="str">
        <f>VLOOKUP(H134,departments!A:B,2,FALSE)</f>
        <v>Sales</v>
      </c>
      <c r="J134" s="1" t="str">
        <f>VLOOKUP(B134,candidate!A:E,5,FALSE)</f>
        <v>Walk-in</v>
      </c>
    </row>
    <row r="135" spans="1:10" x14ac:dyDescent="0.25">
      <c r="A135" s="1">
        <v>125</v>
      </c>
      <c r="B135" s="1">
        <v>897</v>
      </c>
      <c r="C135" s="6">
        <v>45812</v>
      </c>
      <c r="D135" s="1">
        <v>19</v>
      </c>
      <c r="E135" s="1">
        <v>581000</v>
      </c>
      <c r="F135" s="1" t="s">
        <v>6</v>
      </c>
      <c r="G135" s="1">
        <f>VLOOKUP(B135,candidate!A:E,2,FALSE)</f>
        <v>22</v>
      </c>
      <c r="H135" s="1">
        <f>VLOOKUP(G135,job_openings!A:B,2,FALSE)</f>
        <v>2</v>
      </c>
      <c r="I135" s="1" t="str">
        <f>VLOOKUP(H135,departments!A:B,2,FALSE)</f>
        <v>Sales</v>
      </c>
      <c r="J135" s="1" t="str">
        <f>VLOOKUP(B135,candidate!A:E,5,FALSE)</f>
        <v>Job Board</v>
      </c>
    </row>
    <row r="136" spans="1:10" x14ac:dyDescent="0.25">
      <c r="A136" s="1">
        <v>135</v>
      </c>
      <c r="B136" s="1">
        <v>947</v>
      </c>
      <c r="C136" s="6">
        <v>45804</v>
      </c>
      <c r="D136" s="1">
        <v>15</v>
      </c>
      <c r="E136" s="1">
        <v>358000</v>
      </c>
      <c r="F136" s="1" t="s">
        <v>7</v>
      </c>
      <c r="G136" s="1">
        <f>VLOOKUP(B136,candidate!A:E,2,FALSE)</f>
        <v>23</v>
      </c>
      <c r="H136" s="1">
        <f>VLOOKUP(G136,job_openings!A:B,2,FALSE)</f>
        <v>3</v>
      </c>
      <c r="I136" s="1" t="str">
        <f>VLOOKUP(H136,departments!A:B,2,FALSE)</f>
        <v>Customer Support</v>
      </c>
      <c r="J136" s="1" t="str">
        <f>VLOOKUP(B136,candidate!A:E,5,FALSE)</f>
        <v>LinkedIn</v>
      </c>
    </row>
    <row r="137" spans="1:10" x14ac:dyDescent="0.25">
      <c r="A137" s="1">
        <v>192</v>
      </c>
      <c r="B137" s="1">
        <v>1409</v>
      </c>
      <c r="C137" s="6">
        <v>45931</v>
      </c>
      <c r="D137" s="1">
        <v>48</v>
      </c>
      <c r="E137" s="1">
        <v>1158000</v>
      </c>
      <c r="F137" s="1" t="s">
        <v>6</v>
      </c>
      <c r="G137" s="1">
        <f>VLOOKUP(B137,candidate!A:E,2,FALSE)</f>
        <v>36</v>
      </c>
      <c r="H137" s="1">
        <f>VLOOKUP(G137,job_openings!A:B,2,FALSE)</f>
        <v>1</v>
      </c>
      <c r="I137" s="1" t="str">
        <f>VLOOKUP(H137,departments!A:B,2,FALSE)</f>
        <v>Engineering</v>
      </c>
      <c r="J137" s="1" t="str">
        <f>VLOOKUP(B137,candidate!A:E,5,FALSE)</f>
        <v>LinkedIn</v>
      </c>
    </row>
    <row r="138" spans="1:10" x14ac:dyDescent="0.25">
      <c r="A138" s="1">
        <v>178</v>
      </c>
      <c r="B138" s="1">
        <v>1279</v>
      </c>
      <c r="C138" s="6">
        <v>45860</v>
      </c>
      <c r="D138" s="1">
        <v>15</v>
      </c>
      <c r="E138" s="1">
        <v>296000</v>
      </c>
      <c r="F138" s="1" t="s">
        <v>6</v>
      </c>
      <c r="G138" s="1">
        <f>VLOOKUP(B138,candidate!A:E,2,FALSE)</f>
        <v>33</v>
      </c>
      <c r="H138" s="1">
        <f>VLOOKUP(G138,job_openings!A:B,2,FALSE)</f>
        <v>3</v>
      </c>
      <c r="I138" s="1" t="str">
        <f>VLOOKUP(H138,departments!A:B,2,FALSE)</f>
        <v>Customer Support</v>
      </c>
      <c r="J138" s="1" t="str">
        <f>VLOOKUP(B138,candidate!A:E,5,FALSE)</f>
        <v>Referral</v>
      </c>
    </row>
    <row r="139" spans="1:10" x14ac:dyDescent="0.25">
      <c r="A139" s="1">
        <v>151</v>
      </c>
      <c r="B139" s="1">
        <v>1037</v>
      </c>
      <c r="C139" s="6">
        <v>45855</v>
      </c>
      <c r="D139" s="1">
        <v>32</v>
      </c>
      <c r="E139" s="1">
        <v>549000</v>
      </c>
      <c r="F139" s="1" t="s">
        <v>7</v>
      </c>
      <c r="G139" s="1">
        <f>VLOOKUP(B139,candidate!A:E,2,FALSE)</f>
        <v>27</v>
      </c>
      <c r="H139" s="1">
        <f>VLOOKUP(G139,job_openings!A:B,2,FALSE)</f>
        <v>2</v>
      </c>
      <c r="I139" s="1" t="str">
        <f>VLOOKUP(H139,departments!A:B,2,FALSE)</f>
        <v>Sales</v>
      </c>
      <c r="J139" s="1" t="str">
        <f>VLOOKUP(B139,candidate!A:E,5,FALSE)</f>
        <v>Job Board</v>
      </c>
    </row>
    <row r="140" spans="1:10" x14ac:dyDescent="0.25">
      <c r="A140" s="1">
        <v>172</v>
      </c>
      <c r="B140" s="1">
        <v>1234</v>
      </c>
      <c r="C140" s="6">
        <v>45867</v>
      </c>
      <c r="D140" s="1">
        <v>19</v>
      </c>
      <c r="E140" s="1">
        <v>632000</v>
      </c>
      <c r="F140" s="1" t="s">
        <v>6</v>
      </c>
      <c r="G140" s="1">
        <f>VLOOKUP(B140,candidate!A:E,2,FALSE)</f>
        <v>32</v>
      </c>
      <c r="H140" s="1">
        <f>VLOOKUP(G140,job_openings!A:B,2,FALSE)</f>
        <v>2</v>
      </c>
      <c r="I140" s="1" t="str">
        <f>VLOOKUP(H140,departments!A:B,2,FALSE)</f>
        <v>Sales</v>
      </c>
      <c r="J140" s="1" t="str">
        <f>VLOOKUP(B140,candidate!A:E,5,FALSE)</f>
        <v>LinkedIn</v>
      </c>
    </row>
    <row r="141" spans="1:10" x14ac:dyDescent="0.25">
      <c r="A141" s="1">
        <v>30</v>
      </c>
      <c r="B141" s="1">
        <v>230</v>
      </c>
      <c r="C141" s="6">
        <v>45740</v>
      </c>
      <c r="D141" s="1">
        <v>43</v>
      </c>
      <c r="E141" s="1">
        <v>971000</v>
      </c>
      <c r="F141" s="1" t="s">
        <v>6</v>
      </c>
      <c r="G141" s="1">
        <f>VLOOKUP(B141,candidate!A:E,2,FALSE)</f>
        <v>6</v>
      </c>
      <c r="H141" s="1">
        <f>VLOOKUP(G141,job_openings!A:B,2,FALSE)</f>
        <v>1</v>
      </c>
      <c r="I141" s="1" t="str">
        <f>VLOOKUP(H141,departments!A:B,2,FALSE)</f>
        <v>Engineering</v>
      </c>
      <c r="J141" s="1" t="str">
        <f>VLOOKUP(B141,candidate!A:E,5,FALSE)</f>
        <v>LinkedIn</v>
      </c>
    </row>
    <row r="142" spans="1:10" x14ac:dyDescent="0.25">
      <c r="A142" s="1">
        <v>113</v>
      </c>
      <c r="B142" s="1">
        <v>814</v>
      </c>
      <c r="C142" s="6">
        <v>45782</v>
      </c>
      <c r="D142" s="1">
        <v>25</v>
      </c>
      <c r="E142" s="1">
        <v>436000</v>
      </c>
      <c r="F142" s="1" t="s">
        <v>6</v>
      </c>
      <c r="G142" s="1">
        <f>VLOOKUP(B142,candidate!A:E,2,FALSE)</f>
        <v>20</v>
      </c>
      <c r="H142" s="1">
        <f>VLOOKUP(G142,job_openings!A:B,2,FALSE)</f>
        <v>5</v>
      </c>
      <c r="I142" s="1" t="str">
        <f>VLOOKUP(H142,departments!A:B,2,FALSE)</f>
        <v>Marketing</v>
      </c>
      <c r="J142" s="1" t="str">
        <f>VLOOKUP(B142,candidate!A:E,5,FALSE)</f>
        <v>LinkedIn</v>
      </c>
    </row>
    <row r="143" spans="1:10" x14ac:dyDescent="0.25">
      <c r="A143" s="1">
        <v>51</v>
      </c>
      <c r="B143" s="1">
        <v>384</v>
      </c>
      <c r="C143" s="6">
        <v>45737</v>
      </c>
      <c r="D143" s="1">
        <v>38</v>
      </c>
      <c r="E143" s="1">
        <v>489000</v>
      </c>
      <c r="F143" s="1" t="s">
        <v>6</v>
      </c>
      <c r="G143" s="1">
        <f>VLOOKUP(B143,candidate!A:E,2,FALSE)</f>
        <v>9</v>
      </c>
      <c r="H143" s="1">
        <f>VLOOKUP(G143,job_openings!A:B,2,FALSE)</f>
        <v>4</v>
      </c>
      <c r="I143" s="1" t="str">
        <f>VLOOKUP(H143,departments!A:B,2,FALSE)</f>
        <v>Operations</v>
      </c>
      <c r="J143" s="1" t="str">
        <f>VLOOKUP(B143,candidate!A:E,5,FALSE)</f>
        <v>Job Board</v>
      </c>
    </row>
    <row r="144" spans="1:10" x14ac:dyDescent="0.25">
      <c r="A144" s="1">
        <v>43</v>
      </c>
      <c r="B144" s="1">
        <v>331</v>
      </c>
      <c r="C144" s="6">
        <v>45734</v>
      </c>
      <c r="D144" s="1">
        <v>18</v>
      </c>
      <c r="E144" s="1">
        <v>363000</v>
      </c>
      <c r="F144" s="1" t="s">
        <v>6</v>
      </c>
      <c r="G144" s="1">
        <f>VLOOKUP(B144,candidate!A:E,2,FALSE)</f>
        <v>8</v>
      </c>
      <c r="H144" s="1">
        <f>VLOOKUP(G144,job_openings!A:B,2,FALSE)</f>
        <v>3</v>
      </c>
      <c r="I144" s="1" t="str">
        <f>VLOOKUP(H144,departments!A:B,2,FALSE)</f>
        <v>Customer Support</v>
      </c>
      <c r="J144" s="1" t="str">
        <f>VLOOKUP(B144,candidate!A:E,5,FALSE)</f>
        <v>Referral</v>
      </c>
    </row>
    <row r="145" spans="1:10" x14ac:dyDescent="0.25">
      <c r="A145" s="1">
        <v>32</v>
      </c>
      <c r="B145" s="1">
        <v>266</v>
      </c>
      <c r="C145" s="6">
        <v>45720</v>
      </c>
      <c r="D145" s="1">
        <v>31</v>
      </c>
      <c r="E145" s="1">
        <v>676000</v>
      </c>
      <c r="F145" s="1" t="s">
        <v>6</v>
      </c>
      <c r="G145" s="1">
        <f>VLOOKUP(B145,candidate!A:E,2,FALSE)</f>
        <v>7</v>
      </c>
      <c r="H145" s="1">
        <f>VLOOKUP(G145,job_openings!A:B,2,FALSE)</f>
        <v>2</v>
      </c>
      <c r="I145" s="1" t="str">
        <f>VLOOKUP(H145,departments!A:B,2,FALSE)</f>
        <v>Sales</v>
      </c>
      <c r="J145" s="1" t="str">
        <f>VLOOKUP(B145,candidate!A:E,5,FALSE)</f>
        <v>LinkedIn</v>
      </c>
    </row>
    <row r="146" spans="1:10" x14ac:dyDescent="0.25">
      <c r="A146" s="1">
        <v>182</v>
      </c>
      <c r="B146" s="1">
        <v>1297</v>
      </c>
      <c r="C146" s="6">
        <v>45862</v>
      </c>
      <c r="D146" s="1">
        <v>11</v>
      </c>
      <c r="E146" s="1">
        <v>273000</v>
      </c>
      <c r="F146" s="1" t="s">
        <v>6</v>
      </c>
      <c r="G146" s="1">
        <f>VLOOKUP(B146,candidate!A:E,2,FALSE)</f>
        <v>33</v>
      </c>
      <c r="H146" s="1">
        <f>VLOOKUP(G146,job_openings!A:B,2,FALSE)</f>
        <v>3</v>
      </c>
      <c r="I146" s="1" t="str">
        <f>VLOOKUP(H146,departments!A:B,2,FALSE)</f>
        <v>Customer Support</v>
      </c>
      <c r="J146" s="1" t="str">
        <f>VLOOKUP(B146,candidate!A:E,5,FALSE)</f>
        <v>Job Board</v>
      </c>
    </row>
    <row r="147" spans="1:10" x14ac:dyDescent="0.25">
      <c r="A147" s="1">
        <v>42</v>
      </c>
      <c r="B147" s="1">
        <v>318</v>
      </c>
      <c r="C147" s="6">
        <v>45717</v>
      </c>
      <c r="D147" s="1">
        <v>13</v>
      </c>
      <c r="E147" s="1">
        <v>294000</v>
      </c>
      <c r="F147" s="1" t="s">
        <v>6</v>
      </c>
      <c r="G147" s="1">
        <f>VLOOKUP(B147,candidate!A:E,2,FALSE)</f>
        <v>8</v>
      </c>
      <c r="H147" s="1">
        <f>VLOOKUP(G147,job_openings!A:B,2,FALSE)</f>
        <v>3</v>
      </c>
      <c r="I147" s="1" t="str">
        <f>VLOOKUP(H147,departments!A:B,2,FALSE)</f>
        <v>Customer Support</v>
      </c>
      <c r="J147" s="1" t="str">
        <f>VLOOKUP(B147,candidate!A:E,5,FALSE)</f>
        <v>Referral</v>
      </c>
    </row>
    <row r="148" spans="1:10" x14ac:dyDescent="0.25">
      <c r="A148" s="1">
        <v>4</v>
      </c>
      <c r="B148" s="1">
        <v>8</v>
      </c>
      <c r="C148" s="6">
        <v>45723</v>
      </c>
      <c r="D148" s="1">
        <v>40</v>
      </c>
      <c r="E148" s="1">
        <v>921000</v>
      </c>
      <c r="F148" s="1" t="s">
        <v>6</v>
      </c>
      <c r="G148" s="1">
        <f>VLOOKUP(B148,candidate!A:E,2,FALSE)</f>
        <v>1</v>
      </c>
      <c r="H148" s="1">
        <f>VLOOKUP(G148,job_openings!A:B,2,FALSE)</f>
        <v>1</v>
      </c>
      <c r="I148" s="1" t="str">
        <f>VLOOKUP(H148,departments!A:B,2,FALSE)</f>
        <v>Engineering</v>
      </c>
      <c r="J148" s="1" t="str">
        <f>VLOOKUP(B148,candidate!A:E,5,FALSE)</f>
        <v>Job Board</v>
      </c>
    </row>
    <row r="149" spans="1:10" x14ac:dyDescent="0.25">
      <c r="A149" s="1">
        <v>33</v>
      </c>
      <c r="B149" s="1">
        <v>270</v>
      </c>
      <c r="C149" s="6">
        <v>45734</v>
      </c>
      <c r="D149" s="1">
        <v>26</v>
      </c>
      <c r="E149" s="1">
        <v>504000</v>
      </c>
      <c r="F149" s="1" t="s">
        <v>6</v>
      </c>
      <c r="G149" s="1">
        <f>VLOOKUP(B149,candidate!A:E,2,FALSE)</f>
        <v>7</v>
      </c>
      <c r="H149" s="1">
        <f>VLOOKUP(G149,job_openings!A:B,2,FALSE)</f>
        <v>2</v>
      </c>
      <c r="I149" s="1" t="str">
        <f>VLOOKUP(H149,departments!A:B,2,FALSE)</f>
        <v>Sales</v>
      </c>
      <c r="J149" s="1" t="str">
        <f>VLOOKUP(B149,candidate!A:E,5,FALSE)</f>
        <v>LinkedIn</v>
      </c>
    </row>
    <row r="150" spans="1:10" x14ac:dyDescent="0.25">
      <c r="A150" s="1">
        <v>236</v>
      </c>
      <c r="B150" s="1">
        <v>1721</v>
      </c>
      <c r="C150" s="6">
        <v>45947</v>
      </c>
      <c r="D150" s="1">
        <v>26</v>
      </c>
      <c r="E150" s="1">
        <v>487000</v>
      </c>
      <c r="F150" s="1" t="s">
        <v>6</v>
      </c>
      <c r="G150" s="1">
        <f>VLOOKUP(B150,candidate!A:E,2,FALSE)</f>
        <v>44</v>
      </c>
      <c r="H150" s="1">
        <f>VLOOKUP(G150,job_openings!A:B,2,FALSE)</f>
        <v>4</v>
      </c>
      <c r="I150" s="1" t="str">
        <f>VLOOKUP(H150,departments!A:B,2,FALSE)</f>
        <v>Operations</v>
      </c>
      <c r="J150" s="1" t="str">
        <f>VLOOKUP(B150,candidate!A:E,5,FALSE)</f>
        <v>LinkedIn</v>
      </c>
    </row>
    <row r="151" spans="1:10" x14ac:dyDescent="0.25">
      <c r="A151" s="1">
        <v>20</v>
      </c>
      <c r="B151" s="1">
        <v>114</v>
      </c>
      <c r="C151" s="6">
        <v>45702</v>
      </c>
      <c r="D151" s="1">
        <v>27</v>
      </c>
      <c r="E151" s="1">
        <v>327000</v>
      </c>
      <c r="F151" s="1" t="s">
        <v>6</v>
      </c>
      <c r="G151" s="1">
        <f>VLOOKUP(B151,candidate!A:E,2,FALSE)</f>
        <v>3</v>
      </c>
      <c r="H151" s="1">
        <f>VLOOKUP(G151,job_openings!A:B,2,FALSE)</f>
        <v>3</v>
      </c>
      <c r="I151" s="1" t="str">
        <f>VLOOKUP(H151,departments!A:B,2,FALSE)</f>
        <v>Customer Support</v>
      </c>
      <c r="J151" s="1" t="str">
        <f>VLOOKUP(B151,candidate!A:E,5,FALSE)</f>
        <v>LinkedIn</v>
      </c>
    </row>
    <row r="152" spans="1:10" x14ac:dyDescent="0.25">
      <c r="A152" s="1">
        <v>281</v>
      </c>
      <c r="B152" s="1">
        <v>2110</v>
      </c>
      <c r="C152" s="6">
        <v>46028</v>
      </c>
      <c r="D152" s="1">
        <v>17</v>
      </c>
      <c r="E152" s="1">
        <v>345000</v>
      </c>
      <c r="F152" s="1" t="s">
        <v>7</v>
      </c>
      <c r="G152" s="1">
        <f>VLOOKUP(B152,candidate!A:E,2,FALSE)</f>
        <v>58</v>
      </c>
      <c r="H152" s="1">
        <f>VLOOKUP(G152,job_openings!A:B,2,FALSE)</f>
        <v>3</v>
      </c>
      <c r="I152" s="1" t="str">
        <f>VLOOKUP(H152,departments!A:B,2,FALSE)</f>
        <v>Customer Support</v>
      </c>
      <c r="J152" s="1" t="str">
        <f>VLOOKUP(B152,candidate!A:E,5,FALSE)</f>
        <v>Job Board</v>
      </c>
    </row>
    <row r="153" spans="1:10" x14ac:dyDescent="0.25">
      <c r="A153" s="1">
        <v>27</v>
      </c>
      <c r="B153" s="1">
        <v>190</v>
      </c>
      <c r="C153" s="6">
        <v>45719</v>
      </c>
      <c r="D153" s="1">
        <v>42</v>
      </c>
      <c r="E153" s="1">
        <v>373000</v>
      </c>
      <c r="F153" s="1" t="s">
        <v>7</v>
      </c>
      <c r="G153" s="1">
        <f>VLOOKUP(B153,candidate!A:E,2,FALSE)</f>
        <v>4</v>
      </c>
      <c r="H153" s="1">
        <f>VLOOKUP(G153,job_openings!A:B,2,FALSE)</f>
        <v>4</v>
      </c>
      <c r="I153" s="1" t="str">
        <f>VLOOKUP(H153,departments!A:B,2,FALSE)</f>
        <v>Operations</v>
      </c>
      <c r="J153" s="1" t="str">
        <f>VLOOKUP(B153,candidate!A:E,5,FALSE)</f>
        <v>Walk-in</v>
      </c>
    </row>
    <row r="154" spans="1:10" x14ac:dyDescent="0.25">
      <c r="A154" s="1">
        <v>21</v>
      </c>
      <c r="B154" s="1">
        <v>134</v>
      </c>
      <c r="C154" s="6">
        <v>45670</v>
      </c>
      <c r="D154" s="1">
        <v>5</v>
      </c>
      <c r="E154" s="1">
        <v>289000</v>
      </c>
      <c r="F154" s="1" t="s">
        <v>6</v>
      </c>
      <c r="G154" s="1">
        <f>VLOOKUP(B154,candidate!A:E,2,FALSE)</f>
        <v>3</v>
      </c>
      <c r="H154" s="1">
        <f>VLOOKUP(G154,job_openings!A:B,2,FALSE)</f>
        <v>3</v>
      </c>
      <c r="I154" s="1" t="str">
        <f>VLOOKUP(H154,departments!A:B,2,FALSE)</f>
        <v>Customer Support</v>
      </c>
      <c r="J154" s="1" t="str">
        <f>VLOOKUP(B154,candidate!A:E,5,FALSE)</f>
        <v>LinkedIn</v>
      </c>
    </row>
    <row r="155" spans="1:10" x14ac:dyDescent="0.25">
      <c r="A155" s="1">
        <v>143</v>
      </c>
      <c r="B155" s="1">
        <v>999</v>
      </c>
      <c r="C155" s="6">
        <v>45848</v>
      </c>
      <c r="D155" s="1">
        <v>27</v>
      </c>
      <c r="E155" s="1">
        <v>1041000</v>
      </c>
      <c r="F155" s="1" t="s">
        <v>6</v>
      </c>
      <c r="G155" s="1">
        <f>VLOOKUP(B155,candidate!A:E,2,FALSE)</f>
        <v>26</v>
      </c>
      <c r="H155" s="1">
        <f>VLOOKUP(G155,job_openings!A:B,2,FALSE)</f>
        <v>1</v>
      </c>
      <c r="I155" s="1" t="str">
        <f>VLOOKUP(H155,departments!A:B,2,FALSE)</f>
        <v>Engineering</v>
      </c>
      <c r="J155" s="1" t="str">
        <f>VLOOKUP(B155,candidate!A:E,5,FALSE)</f>
        <v>Referral</v>
      </c>
    </row>
    <row r="156" spans="1:10" x14ac:dyDescent="0.25">
      <c r="A156" s="1">
        <v>248</v>
      </c>
      <c r="B156" s="1">
        <v>1829</v>
      </c>
      <c r="C156" s="6">
        <v>45974</v>
      </c>
      <c r="D156" s="1">
        <v>22</v>
      </c>
      <c r="E156" s="1">
        <v>491000</v>
      </c>
      <c r="F156" s="1" t="s">
        <v>6</v>
      </c>
      <c r="G156" s="1">
        <f>VLOOKUP(B156,candidate!A:E,2,FALSE)</f>
        <v>47</v>
      </c>
      <c r="H156" s="1">
        <f>VLOOKUP(G156,job_openings!A:B,2,FALSE)</f>
        <v>2</v>
      </c>
      <c r="I156" s="1" t="str">
        <f>VLOOKUP(H156,departments!A:B,2,FALSE)</f>
        <v>Sales</v>
      </c>
      <c r="J156" s="1" t="str">
        <f>VLOOKUP(B156,candidate!A:E,5,FALSE)</f>
        <v>Referral</v>
      </c>
    </row>
    <row r="157" spans="1:10" x14ac:dyDescent="0.25">
      <c r="A157" s="1">
        <v>228</v>
      </c>
      <c r="B157" s="1">
        <v>1646</v>
      </c>
      <c r="C157" s="6">
        <v>45917</v>
      </c>
      <c r="D157" s="1">
        <v>10</v>
      </c>
      <c r="E157" s="1">
        <v>344000</v>
      </c>
      <c r="F157" s="1" t="s">
        <v>7</v>
      </c>
      <c r="G157" s="1">
        <f>VLOOKUP(B157,candidate!A:E,2,FALSE)</f>
        <v>43</v>
      </c>
      <c r="H157" s="1">
        <f>VLOOKUP(G157,job_openings!A:B,2,FALSE)</f>
        <v>3</v>
      </c>
      <c r="I157" s="1" t="str">
        <f>VLOOKUP(H157,departments!A:B,2,FALSE)</f>
        <v>Customer Support</v>
      </c>
      <c r="J157" s="1" t="str">
        <f>VLOOKUP(B157,candidate!A:E,5,FALSE)</f>
        <v>LinkedIn</v>
      </c>
    </row>
    <row r="158" spans="1:10" x14ac:dyDescent="0.25">
      <c r="A158" s="1">
        <v>119</v>
      </c>
      <c r="B158" s="1">
        <v>857</v>
      </c>
      <c r="C158" s="6">
        <v>45853</v>
      </c>
      <c r="D158" s="1">
        <v>54</v>
      </c>
      <c r="E158" s="1">
        <v>825000</v>
      </c>
      <c r="F158" s="1" t="s">
        <v>6</v>
      </c>
      <c r="G158" s="1">
        <f>VLOOKUP(B158,candidate!A:E,2,FALSE)</f>
        <v>21</v>
      </c>
      <c r="H158" s="1">
        <f>VLOOKUP(G158,job_openings!A:B,2,FALSE)</f>
        <v>1</v>
      </c>
      <c r="I158" s="1" t="str">
        <f>VLOOKUP(H158,departments!A:B,2,FALSE)</f>
        <v>Engineering</v>
      </c>
      <c r="J158" s="1" t="str">
        <f>VLOOKUP(B158,candidate!A:E,5,FALSE)</f>
        <v>Referral</v>
      </c>
    </row>
    <row r="159" spans="1:10" x14ac:dyDescent="0.25">
      <c r="A159" s="1">
        <v>171</v>
      </c>
      <c r="B159" s="1">
        <v>1233</v>
      </c>
      <c r="C159" s="6">
        <v>45882</v>
      </c>
      <c r="D159" s="1">
        <v>33</v>
      </c>
      <c r="E159" s="1">
        <v>540000</v>
      </c>
      <c r="F159" s="1" t="s">
        <v>6</v>
      </c>
      <c r="G159" s="1">
        <f>VLOOKUP(B159,candidate!A:E,2,FALSE)</f>
        <v>32</v>
      </c>
      <c r="H159" s="1">
        <f>VLOOKUP(G159,job_openings!A:B,2,FALSE)</f>
        <v>2</v>
      </c>
      <c r="I159" s="1" t="str">
        <f>VLOOKUP(H159,departments!A:B,2,FALSE)</f>
        <v>Sales</v>
      </c>
      <c r="J159" s="1" t="str">
        <f>VLOOKUP(B159,candidate!A:E,5,FALSE)</f>
        <v>LinkedIn</v>
      </c>
    </row>
    <row r="160" spans="1:10" x14ac:dyDescent="0.25">
      <c r="A160" s="1">
        <v>61</v>
      </c>
      <c r="B160" s="1">
        <v>448</v>
      </c>
      <c r="C160" s="6">
        <v>45769</v>
      </c>
      <c r="D160" s="1">
        <v>41</v>
      </c>
      <c r="E160" s="1">
        <v>1018000</v>
      </c>
      <c r="F160" s="1" t="s">
        <v>6</v>
      </c>
      <c r="G160" s="1">
        <f>VLOOKUP(B160,candidate!A:E,2,FALSE)</f>
        <v>11</v>
      </c>
      <c r="H160" s="1">
        <f>VLOOKUP(G160,job_openings!A:B,2,FALSE)</f>
        <v>1</v>
      </c>
      <c r="I160" s="1" t="str">
        <f>VLOOKUP(H160,departments!A:B,2,FALSE)</f>
        <v>Engineering</v>
      </c>
      <c r="J160" s="1" t="str">
        <f>VLOOKUP(B160,candidate!A:E,5,FALSE)</f>
        <v>LinkedIn</v>
      </c>
    </row>
    <row r="161" spans="1:10" x14ac:dyDescent="0.25">
      <c r="A161" s="1">
        <v>279</v>
      </c>
      <c r="B161" s="1">
        <v>2085</v>
      </c>
      <c r="C161" s="6">
        <v>46041</v>
      </c>
      <c r="D161" s="1">
        <v>27</v>
      </c>
      <c r="E161" s="1">
        <v>678000</v>
      </c>
      <c r="F161" s="1" t="s">
        <v>6</v>
      </c>
      <c r="G161" s="1">
        <f>VLOOKUP(B161,candidate!A:E,2,FALSE)</f>
        <v>57</v>
      </c>
      <c r="H161" s="1">
        <f>VLOOKUP(G161,job_openings!A:B,2,FALSE)</f>
        <v>2</v>
      </c>
      <c r="I161" s="1" t="str">
        <f>VLOOKUP(H161,departments!A:B,2,FALSE)</f>
        <v>Sales</v>
      </c>
      <c r="J161" s="1" t="str">
        <f>VLOOKUP(B161,candidate!A:E,5,FALSE)</f>
        <v>Job Board</v>
      </c>
    </row>
    <row r="162" spans="1:10" x14ac:dyDescent="0.25">
      <c r="A162" s="1">
        <v>253</v>
      </c>
      <c r="B162" s="1">
        <v>1843</v>
      </c>
      <c r="C162" s="6">
        <v>45969</v>
      </c>
      <c r="D162" s="1">
        <v>15</v>
      </c>
      <c r="E162" s="1">
        <v>373000</v>
      </c>
      <c r="F162" s="1" t="s">
        <v>6</v>
      </c>
      <c r="G162" s="1">
        <f>VLOOKUP(B162,candidate!A:E,2,FALSE)</f>
        <v>48</v>
      </c>
      <c r="H162" s="1">
        <f>VLOOKUP(G162,job_openings!A:B,2,FALSE)</f>
        <v>3</v>
      </c>
      <c r="I162" s="1" t="str">
        <f>VLOOKUP(H162,departments!A:B,2,FALSE)</f>
        <v>Customer Support</v>
      </c>
      <c r="J162" s="1" t="str">
        <f>VLOOKUP(B162,candidate!A:E,5,FALSE)</f>
        <v>Job Board</v>
      </c>
    </row>
    <row r="163" spans="1:10" x14ac:dyDescent="0.25">
      <c r="A163" s="1">
        <v>215</v>
      </c>
      <c r="B163" s="1">
        <v>1578</v>
      </c>
      <c r="C163" s="6">
        <v>45930</v>
      </c>
      <c r="D163" s="1">
        <v>29</v>
      </c>
      <c r="E163" s="1">
        <v>1138000</v>
      </c>
      <c r="F163" s="1" t="s">
        <v>7</v>
      </c>
      <c r="G163" s="1">
        <f>VLOOKUP(B163,candidate!A:E,2,FALSE)</f>
        <v>41</v>
      </c>
      <c r="H163" s="1">
        <f>VLOOKUP(G163,job_openings!A:B,2,FALSE)</f>
        <v>1</v>
      </c>
      <c r="I163" s="1" t="str">
        <f>VLOOKUP(H163,departments!A:B,2,FALSE)</f>
        <v>Engineering</v>
      </c>
      <c r="J163" s="1" t="str">
        <f>VLOOKUP(B163,candidate!A:E,5,FALSE)</f>
        <v>Referral</v>
      </c>
    </row>
    <row r="164" spans="1:10" x14ac:dyDescent="0.25">
      <c r="A164" s="1">
        <v>190</v>
      </c>
      <c r="B164" s="1">
        <v>1380</v>
      </c>
      <c r="C164" s="6">
        <v>45889</v>
      </c>
      <c r="D164" s="1">
        <v>36</v>
      </c>
      <c r="E164" s="1">
        <v>462000</v>
      </c>
      <c r="F164" s="1" t="s">
        <v>7</v>
      </c>
      <c r="G164" s="1">
        <f>VLOOKUP(B164,candidate!A:E,2,FALSE)</f>
        <v>35</v>
      </c>
      <c r="H164" s="1">
        <f>VLOOKUP(G164,job_openings!A:B,2,FALSE)</f>
        <v>5</v>
      </c>
      <c r="I164" s="1" t="str">
        <f>VLOOKUP(H164,departments!A:B,2,FALSE)</f>
        <v>Marketing</v>
      </c>
      <c r="J164" s="1" t="str">
        <f>VLOOKUP(B164,candidate!A:E,5,FALSE)</f>
        <v>Job Board</v>
      </c>
    </row>
    <row r="165" spans="1:10" x14ac:dyDescent="0.25">
      <c r="A165" s="1">
        <v>193</v>
      </c>
      <c r="B165" s="1">
        <v>1418</v>
      </c>
      <c r="C165" s="6">
        <v>45907</v>
      </c>
      <c r="D165" s="1">
        <v>16</v>
      </c>
      <c r="E165" s="1">
        <v>512000</v>
      </c>
      <c r="F165" s="1" t="s">
        <v>6</v>
      </c>
      <c r="G165" s="1">
        <f>VLOOKUP(B165,candidate!A:E,2,FALSE)</f>
        <v>37</v>
      </c>
      <c r="H165" s="1">
        <f>VLOOKUP(G165,job_openings!A:B,2,FALSE)</f>
        <v>2</v>
      </c>
      <c r="I165" s="1" t="str">
        <f>VLOOKUP(H165,departments!A:B,2,FALSE)</f>
        <v>Sales</v>
      </c>
      <c r="J165" s="1" t="str">
        <f>VLOOKUP(B165,candidate!A:E,5,FALSE)</f>
        <v>Referral</v>
      </c>
    </row>
    <row r="166" spans="1:10" x14ac:dyDescent="0.25">
      <c r="A166" s="1">
        <v>247</v>
      </c>
      <c r="B166" s="1">
        <v>1828</v>
      </c>
      <c r="C166" s="6">
        <v>45967</v>
      </c>
      <c r="D166" s="1">
        <v>23</v>
      </c>
      <c r="E166" s="1">
        <v>678000</v>
      </c>
      <c r="F166" s="1" t="s">
        <v>6</v>
      </c>
      <c r="G166" s="1">
        <f>VLOOKUP(B166,candidate!A:E,2,FALSE)</f>
        <v>47</v>
      </c>
      <c r="H166" s="1">
        <f>VLOOKUP(G166,job_openings!A:B,2,FALSE)</f>
        <v>2</v>
      </c>
      <c r="I166" s="1" t="str">
        <f>VLOOKUP(H166,departments!A:B,2,FALSE)</f>
        <v>Sales</v>
      </c>
      <c r="J166" s="1" t="str">
        <f>VLOOKUP(B166,candidate!A:E,5,FALSE)</f>
        <v>Referral</v>
      </c>
    </row>
    <row r="167" spans="1:10" x14ac:dyDescent="0.25">
      <c r="A167" s="1">
        <v>69</v>
      </c>
      <c r="B167" s="1">
        <v>506</v>
      </c>
      <c r="C167" s="6">
        <v>45759</v>
      </c>
      <c r="D167" s="1">
        <v>20</v>
      </c>
      <c r="E167" s="1">
        <v>598000</v>
      </c>
      <c r="F167" s="1" t="s">
        <v>7</v>
      </c>
      <c r="G167" s="1">
        <f>VLOOKUP(B167,candidate!A:E,2,FALSE)</f>
        <v>12</v>
      </c>
      <c r="H167" s="1">
        <f>VLOOKUP(G167,job_openings!A:B,2,FALSE)</f>
        <v>2</v>
      </c>
      <c r="I167" s="1" t="str">
        <f>VLOOKUP(H167,departments!A:B,2,FALSE)</f>
        <v>Sales</v>
      </c>
      <c r="J167" s="1" t="str">
        <f>VLOOKUP(B167,candidate!A:E,5,FALSE)</f>
        <v>LinkedIn</v>
      </c>
    </row>
    <row r="168" spans="1:10" x14ac:dyDescent="0.25">
      <c r="A168" s="1">
        <v>2</v>
      </c>
      <c r="B168" s="1">
        <v>2</v>
      </c>
      <c r="C168" s="6">
        <v>45700</v>
      </c>
      <c r="D168" s="1">
        <v>35</v>
      </c>
      <c r="E168" s="1">
        <v>1057000</v>
      </c>
      <c r="F168" s="1" t="s">
        <v>6</v>
      </c>
      <c r="G168" s="1">
        <f>VLOOKUP(B168,candidate!A:E,2,FALSE)</f>
        <v>1</v>
      </c>
      <c r="H168" s="1">
        <f>VLOOKUP(G168,job_openings!A:B,2,FALSE)</f>
        <v>1</v>
      </c>
      <c r="I168" s="1" t="str">
        <f>VLOOKUP(H168,departments!A:B,2,FALSE)</f>
        <v>Engineering</v>
      </c>
      <c r="J168" s="1" t="str">
        <f>VLOOKUP(B168,candidate!A:E,5,FALSE)</f>
        <v>LinkedIn</v>
      </c>
    </row>
    <row r="169" spans="1:10" x14ac:dyDescent="0.25">
      <c r="A169" s="1">
        <v>231</v>
      </c>
      <c r="B169" s="1">
        <v>1650</v>
      </c>
      <c r="C169" s="6">
        <v>45912</v>
      </c>
      <c r="D169" s="1">
        <v>8</v>
      </c>
      <c r="E169" s="1">
        <v>330000</v>
      </c>
      <c r="F169" s="1" t="s">
        <v>6</v>
      </c>
      <c r="G169" s="1">
        <f>VLOOKUP(B169,candidate!A:E,2,FALSE)</f>
        <v>43</v>
      </c>
      <c r="H169" s="1">
        <f>VLOOKUP(G169,job_openings!A:B,2,FALSE)</f>
        <v>3</v>
      </c>
      <c r="I169" s="1" t="str">
        <f>VLOOKUP(H169,departments!A:B,2,FALSE)</f>
        <v>Customer Support</v>
      </c>
      <c r="J169" s="1" t="str">
        <f>VLOOKUP(B169,candidate!A:E,5,FALSE)</f>
        <v>LinkedIn</v>
      </c>
    </row>
    <row r="170" spans="1:10" x14ac:dyDescent="0.25">
      <c r="A170" s="1">
        <v>154</v>
      </c>
      <c r="B170" s="1">
        <v>1062</v>
      </c>
      <c r="C170" s="6">
        <v>45864</v>
      </c>
      <c r="D170" s="1">
        <v>28</v>
      </c>
      <c r="E170" s="1">
        <v>552000</v>
      </c>
      <c r="F170" s="1" t="s">
        <v>6</v>
      </c>
      <c r="G170" s="1">
        <f>VLOOKUP(B170,candidate!A:E,2,FALSE)</f>
        <v>27</v>
      </c>
      <c r="H170" s="1">
        <f>VLOOKUP(G170,job_openings!A:B,2,FALSE)</f>
        <v>2</v>
      </c>
      <c r="I170" s="1" t="str">
        <f>VLOOKUP(H170,departments!A:B,2,FALSE)</f>
        <v>Sales</v>
      </c>
      <c r="J170" s="1" t="str">
        <f>VLOOKUP(B170,candidate!A:E,5,FALSE)</f>
        <v>Job Board</v>
      </c>
    </row>
    <row r="171" spans="1:10" x14ac:dyDescent="0.25">
      <c r="A171" s="1">
        <v>202</v>
      </c>
      <c r="B171" s="1">
        <v>1459</v>
      </c>
      <c r="C171" s="6">
        <v>45910</v>
      </c>
      <c r="D171" s="1">
        <v>18</v>
      </c>
      <c r="E171" s="1">
        <v>345000</v>
      </c>
      <c r="F171" s="1" t="s">
        <v>6</v>
      </c>
      <c r="G171" s="1">
        <f>VLOOKUP(B171,candidate!A:E,2,FALSE)</f>
        <v>38</v>
      </c>
      <c r="H171" s="1">
        <f>VLOOKUP(G171,job_openings!A:B,2,FALSE)</f>
        <v>3</v>
      </c>
      <c r="I171" s="1" t="str">
        <f>VLOOKUP(H171,departments!A:B,2,FALSE)</f>
        <v>Customer Support</v>
      </c>
      <c r="J171" s="1" t="str">
        <f>VLOOKUP(B171,candidate!A:E,5,FALSE)</f>
        <v>LinkedIn</v>
      </c>
    </row>
    <row r="172" spans="1:10" x14ac:dyDescent="0.25">
      <c r="A172" s="1">
        <v>250</v>
      </c>
      <c r="B172" s="1">
        <v>1839</v>
      </c>
      <c r="C172" s="6">
        <v>45954</v>
      </c>
      <c r="D172" s="1">
        <v>8</v>
      </c>
      <c r="E172" s="1">
        <v>329000</v>
      </c>
      <c r="F172" s="1" t="s">
        <v>6</v>
      </c>
      <c r="G172" s="1">
        <f>VLOOKUP(B172,candidate!A:E,2,FALSE)</f>
        <v>48</v>
      </c>
      <c r="H172" s="1">
        <f>VLOOKUP(G172,job_openings!A:B,2,FALSE)</f>
        <v>3</v>
      </c>
      <c r="I172" s="1" t="str">
        <f>VLOOKUP(H172,departments!A:B,2,FALSE)</f>
        <v>Customer Support</v>
      </c>
      <c r="J172" s="1" t="str">
        <f>VLOOKUP(B172,candidate!A:E,5,FALSE)</f>
        <v>Referral</v>
      </c>
    </row>
    <row r="173" spans="1:10" x14ac:dyDescent="0.25">
      <c r="A173" s="1">
        <v>10</v>
      </c>
      <c r="B173" s="1">
        <v>52</v>
      </c>
      <c r="C173" s="6">
        <v>45692</v>
      </c>
      <c r="D173" s="1">
        <v>17</v>
      </c>
      <c r="E173" s="1">
        <v>567000</v>
      </c>
      <c r="F173" s="1" t="s">
        <v>6</v>
      </c>
      <c r="G173" s="1">
        <f>VLOOKUP(B173,candidate!A:E,2,FALSE)</f>
        <v>2</v>
      </c>
      <c r="H173" s="1">
        <f>VLOOKUP(G173,job_openings!A:B,2,FALSE)</f>
        <v>2</v>
      </c>
      <c r="I173" s="1" t="str">
        <f>VLOOKUP(H173,departments!A:B,2,FALSE)</f>
        <v>Sales</v>
      </c>
      <c r="J173" s="1" t="str">
        <f>VLOOKUP(B173,candidate!A:E,5,FALSE)</f>
        <v>LinkedIn</v>
      </c>
    </row>
    <row r="174" spans="1:10" x14ac:dyDescent="0.25">
      <c r="A174" s="1">
        <v>39</v>
      </c>
      <c r="B174" s="1">
        <v>304</v>
      </c>
      <c r="C174" s="6">
        <v>45716</v>
      </c>
      <c r="D174" s="1">
        <v>15</v>
      </c>
      <c r="E174" s="1">
        <v>526000</v>
      </c>
      <c r="F174" s="1" t="s">
        <v>6</v>
      </c>
      <c r="G174" s="1">
        <f>VLOOKUP(B174,candidate!A:E,2,FALSE)</f>
        <v>7</v>
      </c>
      <c r="H174" s="1">
        <f>VLOOKUP(G174,job_openings!A:B,2,FALSE)</f>
        <v>2</v>
      </c>
      <c r="I174" s="1" t="str">
        <f>VLOOKUP(H174,departments!A:B,2,FALSE)</f>
        <v>Sales</v>
      </c>
      <c r="J174" s="1" t="str">
        <f>VLOOKUP(B174,candidate!A:E,5,FALSE)</f>
        <v>LinkedIn</v>
      </c>
    </row>
    <row r="175" spans="1:10" x14ac:dyDescent="0.25">
      <c r="A175" s="1">
        <v>87</v>
      </c>
      <c r="B175" s="1">
        <v>620</v>
      </c>
      <c r="C175" s="6">
        <v>45763</v>
      </c>
      <c r="D175" s="1">
        <v>22</v>
      </c>
      <c r="E175" s="1">
        <v>479000</v>
      </c>
      <c r="F175" s="1" t="s">
        <v>7</v>
      </c>
      <c r="G175" s="1">
        <f>VLOOKUP(B175,candidate!A:E,2,FALSE)</f>
        <v>15</v>
      </c>
      <c r="H175" s="1">
        <f>VLOOKUP(G175,job_openings!A:B,2,FALSE)</f>
        <v>5</v>
      </c>
      <c r="I175" s="1" t="str">
        <f>VLOOKUP(H175,departments!A:B,2,FALSE)</f>
        <v>Marketing</v>
      </c>
      <c r="J175" s="1" t="str">
        <f>VLOOKUP(B175,candidate!A:E,5,FALSE)</f>
        <v>LinkedIn</v>
      </c>
    </row>
    <row r="176" spans="1:10" x14ac:dyDescent="0.25">
      <c r="A176" s="1">
        <v>199</v>
      </c>
      <c r="B176" s="1">
        <v>1449</v>
      </c>
      <c r="C176" s="6">
        <v>45890</v>
      </c>
      <c r="D176" s="1">
        <v>11</v>
      </c>
      <c r="E176" s="1">
        <v>370000</v>
      </c>
      <c r="F176" s="1" t="s">
        <v>6</v>
      </c>
      <c r="G176" s="1">
        <f>VLOOKUP(B176,candidate!A:E,2,FALSE)</f>
        <v>38</v>
      </c>
      <c r="H176" s="1">
        <f>VLOOKUP(G176,job_openings!A:B,2,FALSE)</f>
        <v>3</v>
      </c>
      <c r="I176" s="1" t="str">
        <f>VLOOKUP(H176,departments!A:B,2,FALSE)</f>
        <v>Customer Support</v>
      </c>
      <c r="J176" s="1" t="str">
        <f>VLOOKUP(B176,candidate!A:E,5,FALSE)</f>
        <v>Job Board</v>
      </c>
    </row>
    <row r="177" spans="1:10" x14ac:dyDescent="0.25">
      <c r="A177" s="1">
        <v>106</v>
      </c>
      <c r="B177" s="1">
        <v>733</v>
      </c>
      <c r="C177" s="6">
        <v>45772</v>
      </c>
      <c r="D177" s="1">
        <v>15</v>
      </c>
      <c r="E177" s="1">
        <v>375000</v>
      </c>
      <c r="F177" s="1" t="s">
        <v>6</v>
      </c>
      <c r="G177" s="1">
        <f>VLOOKUP(B177,candidate!A:E,2,FALSE)</f>
        <v>18</v>
      </c>
      <c r="H177" s="1">
        <f>VLOOKUP(G177,job_openings!A:B,2,FALSE)</f>
        <v>3</v>
      </c>
      <c r="I177" s="1" t="str">
        <f>VLOOKUP(H177,departments!A:B,2,FALSE)</f>
        <v>Customer Support</v>
      </c>
      <c r="J177" s="1" t="str">
        <f>VLOOKUP(B177,candidate!A:E,5,FALSE)</f>
        <v>Referral</v>
      </c>
    </row>
    <row r="178" spans="1:10" x14ac:dyDescent="0.25">
      <c r="A178" s="1">
        <v>65</v>
      </c>
      <c r="B178" s="1">
        <v>486</v>
      </c>
      <c r="C178" s="6">
        <v>45737</v>
      </c>
      <c r="D178" s="1">
        <v>17</v>
      </c>
      <c r="E178" s="1">
        <v>473000</v>
      </c>
      <c r="F178" s="1" t="s">
        <v>6</v>
      </c>
      <c r="G178" s="1">
        <f>VLOOKUP(B178,candidate!A:E,2,FALSE)</f>
        <v>12</v>
      </c>
      <c r="H178" s="1">
        <f>VLOOKUP(G178,job_openings!A:B,2,FALSE)</f>
        <v>2</v>
      </c>
      <c r="I178" s="1" t="str">
        <f>VLOOKUP(H178,departments!A:B,2,FALSE)</f>
        <v>Sales</v>
      </c>
      <c r="J178" s="1" t="str">
        <f>VLOOKUP(B178,candidate!A:E,5,FALSE)</f>
        <v>Referral</v>
      </c>
    </row>
    <row r="179" spans="1:10" x14ac:dyDescent="0.25">
      <c r="A179" s="1">
        <v>274</v>
      </c>
      <c r="B179" s="1">
        <v>2054</v>
      </c>
      <c r="C179" s="6">
        <v>45978</v>
      </c>
      <c r="D179" s="1">
        <v>10</v>
      </c>
      <c r="E179" s="1">
        <v>422000</v>
      </c>
      <c r="F179" s="1" t="s">
        <v>6</v>
      </c>
      <c r="G179" s="1">
        <f>VLOOKUP(B179,candidate!A:E,2,FALSE)</f>
        <v>54</v>
      </c>
      <c r="H179" s="1">
        <f>VLOOKUP(G179,job_openings!A:B,2,FALSE)</f>
        <v>4</v>
      </c>
      <c r="I179" s="1" t="str">
        <f>VLOOKUP(H179,departments!A:B,2,FALSE)</f>
        <v>Operations</v>
      </c>
      <c r="J179" s="1" t="str">
        <f>VLOOKUP(B179,candidate!A:E,5,FALSE)</f>
        <v>LinkedIn</v>
      </c>
    </row>
    <row r="180" spans="1:10" x14ac:dyDescent="0.25">
      <c r="A180" s="1">
        <v>16</v>
      </c>
      <c r="B180" s="1">
        <v>99</v>
      </c>
      <c r="C180" s="6">
        <v>45693</v>
      </c>
      <c r="D180" s="1">
        <v>8</v>
      </c>
      <c r="E180" s="1">
        <v>308000</v>
      </c>
      <c r="F180" s="1" t="s">
        <v>6</v>
      </c>
      <c r="G180" s="1">
        <f>VLOOKUP(B180,candidate!A:E,2,FALSE)</f>
        <v>3</v>
      </c>
      <c r="H180" s="1">
        <f>VLOOKUP(G180,job_openings!A:B,2,FALSE)</f>
        <v>3</v>
      </c>
      <c r="I180" s="1" t="str">
        <f>VLOOKUP(H180,departments!A:B,2,FALSE)</f>
        <v>Customer Support</v>
      </c>
      <c r="J180" s="1" t="str">
        <f>VLOOKUP(B180,candidate!A:E,5,FALSE)</f>
        <v>Job Board</v>
      </c>
    </row>
    <row r="181" spans="1:10" x14ac:dyDescent="0.25">
      <c r="A181" s="1">
        <v>269</v>
      </c>
      <c r="B181" s="1">
        <v>2003</v>
      </c>
      <c r="C181" s="6">
        <v>46002</v>
      </c>
      <c r="D181" s="1">
        <v>13</v>
      </c>
      <c r="E181" s="1">
        <v>366000</v>
      </c>
      <c r="F181" s="1" t="s">
        <v>6</v>
      </c>
      <c r="G181" s="1">
        <f>VLOOKUP(B181,candidate!A:E,2,FALSE)</f>
        <v>53</v>
      </c>
      <c r="H181" s="1">
        <f>VLOOKUP(G181,job_openings!A:B,2,FALSE)</f>
        <v>3</v>
      </c>
      <c r="I181" s="1" t="str">
        <f>VLOOKUP(H181,departments!A:B,2,FALSE)</f>
        <v>Customer Support</v>
      </c>
      <c r="J181" s="1" t="str">
        <f>VLOOKUP(B181,candidate!A:E,5,FALSE)</f>
        <v>Job Board</v>
      </c>
    </row>
    <row r="182" spans="1:10" x14ac:dyDescent="0.25">
      <c r="A182" s="1">
        <v>146</v>
      </c>
      <c r="B182" s="1">
        <v>1003</v>
      </c>
      <c r="C182" s="6">
        <v>45872</v>
      </c>
      <c r="D182" s="1">
        <v>40</v>
      </c>
      <c r="E182" s="1">
        <v>890000</v>
      </c>
      <c r="F182" s="1" t="s">
        <v>6</v>
      </c>
      <c r="G182" s="1">
        <f>VLOOKUP(B182,candidate!A:E,2,FALSE)</f>
        <v>26</v>
      </c>
      <c r="H182" s="1">
        <f>VLOOKUP(G182,job_openings!A:B,2,FALSE)</f>
        <v>1</v>
      </c>
      <c r="I182" s="1" t="str">
        <f>VLOOKUP(H182,departments!A:B,2,FALSE)</f>
        <v>Engineering</v>
      </c>
      <c r="J182" s="1" t="str">
        <f>VLOOKUP(B182,candidate!A:E,5,FALSE)</f>
        <v>Referral</v>
      </c>
    </row>
    <row r="183" spans="1:10" x14ac:dyDescent="0.25">
      <c r="A183" s="1">
        <v>134</v>
      </c>
      <c r="B183" s="1">
        <v>940</v>
      </c>
      <c r="C183" s="6">
        <v>45793</v>
      </c>
      <c r="D183" s="1">
        <v>10</v>
      </c>
      <c r="E183" s="1">
        <v>310000</v>
      </c>
      <c r="F183" s="1" t="s">
        <v>7</v>
      </c>
      <c r="G183" s="1">
        <f>VLOOKUP(B183,candidate!A:E,2,FALSE)</f>
        <v>23</v>
      </c>
      <c r="H183" s="1">
        <f>VLOOKUP(G183,job_openings!A:B,2,FALSE)</f>
        <v>3</v>
      </c>
      <c r="I183" s="1" t="str">
        <f>VLOOKUP(H183,departments!A:B,2,FALSE)</f>
        <v>Customer Support</v>
      </c>
      <c r="J183" s="1" t="str">
        <f>VLOOKUP(B183,candidate!A:E,5,FALSE)</f>
        <v>LinkedIn</v>
      </c>
    </row>
    <row r="184" spans="1:10" x14ac:dyDescent="0.25">
      <c r="A184" s="1">
        <v>122</v>
      </c>
      <c r="B184" s="1">
        <v>892</v>
      </c>
      <c r="C184" s="6">
        <v>45806</v>
      </c>
      <c r="D184" s="1">
        <v>20</v>
      </c>
      <c r="E184" s="1">
        <v>667000</v>
      </c>
      <c r="F184" s="1" t="s">
        <v>6</v>
      </c>
      <c r="G184" s="1">
        <f>VLOOKUP(B184,candidate!A:E,2,FALSE)</f>
        <v>22</v>
      </c>
      <c r="H184" s="1">
        <f>VLOOKUP(G184,job_openings!A:B,2,FALSE)</f>
        <v>2</v>
      </c>
      <c r="I184" s="1" t="str">
        <f>VLOOKUP(H184,departments!A:B,2,FALSE)</f>
        <v>Sales</v>
      </c>
      <c r="J184" s="1" t="str">
        <f>VLOOKUP(B184,candidate!A:E,5,FALSE)</f>
        <v>LinkedIn</v>
      </c>
    </row>
    <row r="185" spans="1:10" x14ac:dyDescent="0.25">
      <c r="A185" s="1">
        <v>158</v>
      </c>
      <c r="B185" s="1">
        <v>1124</v>
      </c>
      <c r="C185" s="6">
        <v>45849</v>
      </c>
      <c r="D185" s="1">
        <v>14</v>
      </c>
      <c r="E185" s="1">
        <v>390000</v>
      </c>
      <c r="F185" s="1" t="s">
        <v>6</v>
      </c>
      <c r="G185" s="1">
        <f>VLOOKUP(B185,candidate!A:E,2,FALSE)</f>
        <v>28</v>
      </c>
      <c r="H185" s="1">
        <f>VLOOKUP(G185,job_openings!A:B,2,FALSE)</f>
        <v>3</v>
      </c>
      <c r="I185" s="1" t="str">
        <f>VLOOKUP(H185,departments!A:B,2,FALSE)</f>
        <v>Customer Support</v>
      </c>
      <c r="J185" s="1" t="str">
        <f>VLOOKUP(B185,candidate!A:E,5,FALSE)</f>
        <v>LinkedIn</v>
      </c>
    </row>
    <row r="186" spans="1:10" x14ac:dyDescent="0.25">
      <c r="A186" s="1">
        <v>104</v>
      </c>
      <c r="B186" s="1">
        <v>716</v>
      </c>
      <c r="C186" s="6">
        <v>45777</v>
      </c>
      <c r="D186" s="1">
        <v>9</v>
      </c>
      <c r="E186" s="1">
        <v>370000</v>
      </c>
      <c r="F186" s="1" t="s">
        <v>6</v>
      </c>
      <c r="G186" s="1">
        <f>VLOOKUP(B186,candidate!A:E,2,FALSE)</f>
        <v>18</v>
      </c>
      <c r="H186" s="1">
        <f>VLOOKUP(G186,job_openings!A:B,2,FALSE)</f>
        <v>3</v>
      </c>
      <c r="I186" s="1" t="str">
        <f>VLOOKUP(H186,departments!A:B,2,FALSE)</f>
        <v>Customer Support</v>
      </c>
      <c r="J186" s="1" t="str">
        <f>VLOOKUP(B186,candidate!A:E,5,FALSE)</f>
        <v>LinkedIn</v>
      </c>
    </row>
    <row r="187" spans="1:10" x14ac:dyDescent="0.25">
      <c r="A187" s="1">
        <v>197</v>
      </c>
      <c r="B187" s="1">
        <v>1433</v>
      </c>
      <c r="C187" s="6">
        <v>45912</v>
      </c>
      <c r="D187" s="1">
        <v>21</v>
      </c>
      <c r="E187" s="1">
        <v>671000</v>
      </c>
      <c r="F187" s="1" t="s">
        <v>7</v>
      </c>
      <c r="G187" s="1">
        <f>VLOOKUP(B187,candidate!A:E,2,FALSE)</f>
        <v>37</v>
      </c>
      <c r="H187" s="1">
        <f>VLOOKUP(G187,job_openings!A:B,2,FALSE)</f>
        <v>2</v>
      </c>
      <c r="I187" s="1" t="str">
        <f>VLOOKUP(H187,departments!A:B,2,FALSE)</f>
        <v>Sales</v>
      </c>
      <c r="J187" s="1" t="str">
        <f>VLOOKUP(B187,candidate!A:E,5,FALSE)</f>
        <v>Referral</v>
      </c>
    </row>
    <row r="188" spans="1:10" x14ac:dyDescent="0.25">
      <c r="A188" s="1">
        <v>195</v>
      </c>
      <c r="B188" s="1">
        <v>1429</v>
      </c>
      <c r="C188" s="6">
        <v>45905</v>
      </c>
      <c r="D188" s="1">
        <v>18</v>
      </c>
      <c r="E188" s="1">
        <v>629000</v>
      </c>
      <c r="F188" s="1" t="s">
        <v>6</v>
      </c>
      <c r="G188" s="1">
        <f>VLOOKUP(B188,candidate!A:E,2,FALSE)</f>
        <v>37</v>
      </c>
      <c r="H188" s="1">
        <f>VLOOKUP(G188,job_openings!A:B,2,FALSE)</f>
        <v>2</v>
      </c>
      <c r="I188" s="1" t="str">
        <f>VLOOKUP(H188,departments!A:B,2,FALSE)</f>
        <v>Sales</v>
      </c>
      <c r="J188" s="1" t="str">
        <f>VLOOKUP(B188,candidate!A:E,5,FALSE)</f>
        <v>Job Board</v>
      </c>
    </row>
    <row r="189" spans="1:10" x14ac:dyDescent="0.25">
      <c r="A189" s="1">
        <v>271</v>
      </c>
      <c r="B189" s="1">
        <v>2009</v>
      </c>
      <c r="C189" s="6">
        <v>45979</v>
      </c>
      <c r="D189" s="1">
        <v>14</v>
      </c>
      <c r="E189" s="1">
        <v>320000</v>
      </c>
      <c r="F189" s="1" t="s">
        <v>6</v>
      </c>
      <c r="G189" s="1">
        <f>VLOOKUP(B189,candidate!A:E,2,FALSE)</f>
        <v>53</v>
      </c>
      <c r="H189" s="1">
        <f>VLOOKUP(G189,job_openings!A:B,2,FALSE)</f>
        <v>3</v>
      </c>
      <c r="I189" s="1" t="str">
        <f>VLOOKUP(H189,departments!A:B,2,FALSE)</f>
        <v>Customer Support</v>
      </c>
      <c r="J189" s="1" t="str">
        <f>VLOOKUP(B189,candidate!A:E,5,FALSE)</f>
        <v>Walk-in</v>
      </c>
    </row>
    <row r="190" spans="1:10" x14ac:dyDescent="0.25">
      <c r="A190" s="1">
        <v>152</v>
      </c>
      <c r="B190" s="1">
        <v>1044</v>
      </c>
      <c r="C190" s="6">
        <v>45833</v>
      </c>
      <c r="D190" s="1">
        <v>21</v>
      </c>
      <c r="E190" s="1">
        <v>542000</v>
      </c>
      <c r="F190" s="1" t="s">
        <v>6</v>
      </c>
      <c r="G190" s="1">
        <f>VLOOKUP(B190,candidate!A:E,2,FALSE)</f>
        <v>27</v>
      </c>
      <c r="H190" s="1">
        <f>VLOOKUP(G190,job_openings!A:B,2,FALSE)</f>
        <v>2</v>
      </c>
      <c r="I190" s="1" t="str">
        <f>VLOOKUP(H190,departments!A:B,2,FALSE)</f>
        <v>Sales</v>
      </c>
      <c r="J190" s="1" t="str">
        <f>VLOOKUP(B190,candidate!A:E,5,FALSE)</f>
        <v>Referral</v>
      </c>
    </row>
    <row r="191" spans="1:10" x14ac:dyDescent="0.25">
      <c r="A191" s="1">
        <v>126</v>
      </c>
      <c r="B191" s="1">
        <v>903</v>
      </c>
      <c r="C191" s="6">
        <v>45823</v>
      </c>
      <c r="D191" s="1">
        <v>27</v>
      </c>
      <c r="E191" s="1">
        <v>581000</v>
      </c>
      <c r="F191" s="1" t="s">
        <v>6</v>
      </c>
      <c r="G191" s="1">
        <f>VLOOKUP(B191,candidate!A:E,2,FALSE)</f>
        <v>22</v>
      </c>
      <c r="H191" s="1">
        <f>VLOOKUP(G191,job_openings!A:B,2,FALSE)</f>
        <v>2</v>
      </c>
      <c r="I191" s="1" t="str">
        <f>VLOOKUP(H191,departments!A:B,2,FALSE)</f>
        <v>Sales</v>
      </c>
      <c r="J191" s="1" t="str">
        <f>VLOOKUP(B191,candidate!A:E,5,FALSE)</f>
        <v>Referral</v>
      </c>
    </row>
    <row r="192" spans="1:10" x14ac:dyDescent="0.25">
      <c r="A192" s="1">
        <v>54</v>
      </c>
      <c r="B192" s="1">
        <v>413</v>
      </c>
      <c r="C192" s="6">
        <v>45746</v>
      </c>
      <c r="D192" s="1">
        <v>32</v>
      </c>
      <c r="E192" s="1">
        <v>484000</v>
      </c>
      <c r="F192" s="1" t="s">
        <v>6</v>
      </c>
      <c r="G192" s="1">
        <f>VLOOKUP(B192,candidate!A:E,2,FALSE)</f>
        <v>10</v>
      </c>
      <c r="H192" s="1">
        <f>VLOOKUP(G192,job_openings!A:B,2,FALSE)</f>
        <v>5</v>
      </c>
      <c r="I192" s="1" t="str">
        <f>VLOOKUP(H192,departments!A:B,2,FALSE)</f>
        <v>Marketing</v>
      </c>
      <c r="J192" s="1" t="str">
        <f>VLOOKUP(B192,candidate!A:E,5,FALSE)</f>
        <v>Referral</v>
      </c>
    </row>
    <row r="193" spans="1:10" x14ac:dyDescent="0.25">
      <c r="A193" s="1">
        <v>266</v>
      </c>
      <c r="B193" s="1">
        <v>1996</v>
      </c>
      <c r="C193" s="6">
        <v>46005</v>
      </c>
      <c r="D193" s="1">
        <v>27</v>
      </c>
      <c r="E193" s="1">
        <v>618000</v>
      </c>
      <c r="F193" s="1" t="s">
        <v>7</v>
      </c>
      <c r="G193" s="1">
        <f>VLOOKUP(B193,candidate!A:E,2,FALSE)</f>
        <v>52</v>
      </c>
      <c r="H193" s="1">
        <f>VLOOKUP(G193,job_openings!A:B,2,FALSE)</f>
        <v>2</v>
      </c>
      <c r="I193" s="1" t="str">
        <f>VLOOKUP(H193,departments!A:B,2,FALSE)</f>
        <v>Sales</v>
      </c>
      <c r="J193" s="1" t="str">
        <f>VLOOKUP(B193,candidate!A:E,5,FALSE)</f>
        <v>Walk-in</v>
      </c>
    </row>
    <row r="194" spans="1:10" x14ac:dyDescent="0.25">
      <c r="A194" s="1">
        <v>230</v>
      </c>
      <c r="B194" s="1">
        <v>1648</v>
      </c>
      <c r="C194" s="6">
        <v>45932</v>
      </c>
      <c r="D194" s="1">
        <v>16</v>
      </c>
      <c r="E194" s="1">
        <v>326000</v>
      </c>
      <c r="F194" s="1" t="s">
        <v>6</v>
      </c>
      <c r="G194" s="1">
        <f>VLOOKUP(B194,candidate!A:E,2,FALSE)</f>
        <v>43</v>
      </c>
      <c r="H194" s="1">
        <f>VLOOKUP(G194,job_openings!A:B,2,FALSE)</f>
        <v>3</v>
      </c>
      <c r="I194" s="1" t="str">
        <f>VLOOKUP(H194,departments!A:B,2,FALSE)</f>
        <v>Customer Support</v>
      </c>
      <c r="J194" s="1" t="str">
        <f>VLOOKUP(B194,candidate!A:E,5,FALSE)</f>
        <v>Referral</v>
      </c>
    </row>
    <row r="195" spans="1:10" x14ac:dyDescent="0.25">
      <c r="A195" s="1">
        <v>25</v>
      </c>
      <c r="B195" s="1">
        <v>182</v>
      </c>
      <c r="C195" s="6">
        <v>45702</v>
      </c>
      <c r="D195" s="1">
        <v>31</v>
      </c>
      <c r="E195" s="1">
        <v>378000</v>
      </c>
      <c r="F195" s="1" t="s">
        <v>6</v>
      </c>
      <c r="G195" s="1">
        <f>VLOOKUP(B195,candidate!A:E,2,FALSE)</f>
        <v>4</v>
      </c>
      <c r="H195" s="1">
        <f>VLOOKUP(G195,job_openings!A:B,2,FALSE)</f>
        <v>4</v>
      </c>
      <c r="I195" s="1" t="str">
        <f>VLOOKUP(H195,departments!A:B,2,FALSE)</f>
        <v>Operations</v>
      </c>
      <c r="J195" s="1" t="str">
        <f>VLOOKUP(B195,candidate!A:E,5,FALSE)</f>
        <v>Referral</v>
      </c>
    </row>
    <row r="196" spans="1:10" x14ac:dyDescent="0.25">
      <c r="A196" s="1">
        <v>280</v>
      </c>
      <c r="B196" s="1">
        <v>2087</v>
      </c>
      <c r="C196" s="6">
        <v>46020</v>
      </c>
      <c r="D196" s="1">
        <v>27</v>
      </c>
      <c r="E196" s="1">
        <v>599000</v>
      </c>
      <c r="F196" s="1" t="s">
        <v>6</v>
      </c>
      <c r="G196" s="1">
        <f>VLOOKUP(B196,candidate!A:E,2,FALSE)</f>
        <v>57</v>
      </c>
      <c r="H196" s="1">
        <f>VLOOKUP(G196,job_openings!A:B,2,FALSE)</f>
        <v>2</v>
      </c>
      <c r="I196" s="1" t="str">
        <f>VLOOKUP(H196,departments!A:B,2,FALSE)</f>
        <v>Sales</v>
      </c>
      <c r="J196" s="1" t="str">
        <f>VLOOKUP(B196,candidate!A:E,5,FALSE)</f>
        <v>Job Board</v>
      </c>
    </row>
    <row r="197" spans="1:10" x14ac:dyDescent="0.25">
      <c r="A197" s="1">
        <v>162</v>
      </c>
      <c r="B197" s="1">
        <v>1160</v>
      </c>
      <c r="C197" s="6">
        <v>45824</v>
      </c>
      <c r="D197" s="1">
        <v>5</v>
      </c>
      <c r="E197" s="1">
        <v>403000</v>
      </c>
      <c r="F197" s="1" t="s">
        <v>6</v>
      </c>
      <c r="G197" s="1">
        <f>VLOOKUP(B197,candidate!A:E,2,FALSE)</f>
        <v>29</v>
      </c>
      <c r="H197" s="1">
        <f>VLOOKUP(G197,job_openings!A:B,2,FALSE)</f>
        <v>4</v>
      </c>
      <c r="I197" s="1" t="str">
        <f>VLOOKUP(H197,departments!A:B,2,FALSE)</f>
        <v>Operations</v>
      </c>
      <c r="J197" s="1" t="str">
        <f>VLOOKUP(B197,candidate!A:E,5,FALSE)</f>
        <v>Job Board</v>
      </c>
    </row>
    <row r="198" spans="1:10" x14ac:dyDescent="0.25">
      <c r="A198" s="1">
        <v>37</v>
      </c>
      <c r="B198" s="1">
        <v>300</v>
      </c>
      <c r="C198" s="6">
        <v>45742</v>
      </c>
      <c r="D198" s="1">
        <v>29</v>
      </c>
      <c r="E198" s="1">
        <v>537000</v>
      </c>
      <c r="F198" s="1" t="s">
        <v>6</v>
      </c>
      <c r="G198" s="1">
        <f>VLOOKUP(B198,candidate!A:E,2,FALSE)</f>
        <v>7</v>
      </c>
      <c r="H198" s="1">
        <f>VLOOKUP(G198,job_openings!A:B,2,FALSE)</f>
        <v>2</v>
      </c>
      <c r="I198" s="1" t="str">
        <f>VLOOKUP(H198,departments!A:B,2,FALSE)</f>
        <v>Sales</v>
      </c>
      <c r="J198" s="1" t="str">
        <f>VLOOKUP(B198,candidate!A:E,5,FALSE)</f>
        <v>Walk-in</v>
      </c>
    </row>
    <row r="199" spans="1:10" x14ac:dyDescent="0.25">
      <c r="A199" s="1">
        <v>86</v>
      </c>
      <c r="B199" s="1">
        <v>604</v>
      </c>
      <c r="C199" s="6">
        <v>45772</v>
      </c>
      <c r="D199" s="1">
        <v>28</v>
      </c>
      <c r="E199" s="1">
        <v>399000</v>
      </c>
      <c r="F199" s="1" t="s">
        <v>6</v>
      </c>
      <c r="G199" s="1">
        <f>VLOOKUP(B199,candidate!A:E,2,FALSE)</f>
        <v>14</v>
      </c>
      <c r="H199" s="1">
        <f>VLOOKUP(G199,job_openings!A:B,2,FALSE)</f>
        <v>4</v>
      </c>
      <c r="I199" s="1" t="str">
        <f>VLOOKUP(H199,departments!A:B,2,FALSE)</f>
        <v>Operations</v>
      </c>
      <c r="J199" s="1" t="str">
        <f>VLOOKUP(B199,candidate!A:E,5,FALSE)</f>
        <v>LinkedIn</v>
      </c>
    </row>
    <row r="200" spans="1:10" x14ac:dyDescent="0.25">
      <c r="A200" s="1">
        <v>252</v>
      </c>
      <c r="B200" s="1">
        <v>1842</v>
      </c>
      <c r="C200" s="6">
        <v>45954</v>
      </c>
      <c r="D200" s="1">
        <v>17</v>
      </c>
      <c r="E200" s="1">
        <v>390000</v>
      </c>
      <c r="F200" s="1" t="s">
        <v>6</v>
      </c>
      <c r="G200" s="1">
        <f>VLOOKUP(B200,candidate!A:E,2,FALSE)</f>
        <v>48</v>
      </c>
      <c r="H200" s="1">
        <f>VLOOKUP(G200,job_openings!A:B,2,FALSE)</f>
        <v>3</v>
      </c>
      <c r="I200" s="1" t="str">
        <f>VLOOKUP(H200,departments!A:B,2,FALSE)</f>
        <v>Customer Support</v>
      </c>
      <c r="J200" s="1" t="str">
        <f>VLOOKUP(B200,candidate!A:E,5,FALSE)</f>
        <v>Referral</v>
      </c>
    </row>
    <row r="201" spans="1:10" x14ac:dyDescent="0.25">
      <c r="A201" s="1">
        <v>165</v>
      </c>
      <c r="B201" s="1">
        <v>1179</v>
      </c>
      <c r="C201" s="6">
        <v>45852</v>
      </c>
      <c r="D201" s="1">
        <v>29</v>
      </c>
      <c r="E201" s="1">
        <v>519000</v>
      </c>
      <c r="F201" s="1" t="s">
        <v>6</v>
      </c>
      <c r="G201" s="1">
        <f>VLOOKUP(B201,candidate!A:E,2,FALSE)</f>
        <v>30</v>
      </c>
      <c r="H201" s="1">
        <f>VLOOKUP(G201,job_openings!A:B,2,FALSE)</f>
        <v>5</v>
      </c>
      <c r="I201" s="1" t="str">
        <f>VLOOKUP(H201,departments!A:B,2,FALSE)</f>
        <v>Marketing</v>
      </c>
      <c r="J201" s="1" t="str">
        <f>VLOOKUP(B201,candidate!A:E,5,FALSE)</f>
        <v>Job Board</v>
      </c>
    </row>
    <row r="202" spans="1:10" x14ac:dyDescent="0.25">
      <c r="A202" s="1">
        <v>255</v>
      </c>
      <c r="B202" s="1">
        <v>1847</v>
      </c>
      <c r="C202" s="6">
        <v>45962</v>
      </c>
      <c r="D202" s="1">
        <v>17</v>
      </c>
      <c r="E202" s="1">
        <v>399000</v>
      </c>
      <c r="F202" s="1" t="s">
        <v>7</v>
      </c>
      <c r="G202" s="1">
        <f>VLOOKUP(B202,candidate!A:E,2,FALSE)</f>
        <v>48</v>
      </c>
      <c r="H202" s="1">
        <f>VLOOKUP(G202,job_openings!A:B,2,FALSE)</f>
        <v>3</v>
      </c>
      <c r="I202" s="1" t="str">
        <f>VLOOKUP(H202,departments!A:B,2,FALSE)</f>
        <v>Customer Support</v>
      </c>
      <c r="J202" s="1" t="str">
        <f>VLOOKUP(B202,candidate!A:E,5,FALSE)</f>
        <v>Job Board</v>
      </c>
    </row>
    <row r="203" spans="1:10" x14ac:dyDescent="0.25">
      <c r="A203" s="1">
        <v>278</v>
      </c>
      <c r="B203" s="1">
        <v>2075</v>
      </c>
      <c r="C203" s="6">
        <v>46060</v>
      </c>
      <c r="D203" s="1">
        <v>42</v>
      </c>
      <c r="E203" s="1">
        <v>839000</v>
      </c>
      <c r="F203" s="1" t="s">
        <v>6</v>
      </c>
      <c r="G203" s="1">
        <f>VLOOKUP(B203,candidate!A:E,2,FALSE)</f>
        <v>56</v>
      </c>
      <c r="H203" s="1">
        <f>VLOOKUP(G203,job_openings!A:B,2,FALSE)</f>
        <v>1</v>
      </c>
      <c r="I203" s="1" t="str">
        <f>VLOOKUP(H203,departments!A:B,2,FALSE)</f>
        <v>Engineering</v>
      </c>
      <c r="J203" s="1" t="str">
        <f>VLOOKUP(B203,candidate!A:E,5,FALSE)</f>
        <v>Job Board</v>
      </c>
    </row>
    <row r="204" spans="1:10" x14ac:dyDescent="0.25">
      <c r="A204" s="1">
        <v>123</v>
      </c>
      <c r="B204" s="1">
        <v>893</v>
      </c>
      <c r="C204" s="6">
        <v>45833</v>
      </c>
      <c r="D204" s="1">
        <v>41</v>
      </c>
      <c r="E204" s="1">
        <v>607000</v>
      </c>
      <c r="F204" s="1" t="s">
        <v>6</v>
      </c>
      <c r="G204" s="1">
        <f>VLOOKUP(B204,candidate!A:E,2,FALSE)</f>
        <v>22</v>
      </c>
      <c r="H204" s="1">
        <f>VLOOKUP(G204,job_openings!A:B,2,FALSE)</f>
        <v>2</v>
      </c>
      <c r="I204" s="1" t="str">
        <f>VLOOKUP(H204,departments!A:B,2,FALSE)</f>
        <v>Sales</v>
      </c>
      <c r="J204" s="1" t="str">
        <f>VLOOKUP(B204,candidate!A:E,5,FALSE)</f>
        <v>Job Board</v>
      </c>
    </row>
    <row r="205" spans="1:10" x14ac:dyDescent="0.25">
      <c r="A205" s="1">
        <v>95</v>
      </c>
      <c r="B205" s="1">
        <v>681</v>
      </c>
      <c r="C205" s="6">
        <v>45787</v>
      </c>
      <c r="D205" s="1">
        <v>24</v>
      </c>
      <c r="E205" s="1">
        <v>653000</v>
      </c>
      <c r="F205" s="1" t="s">
        <v>6</v>
      </c>
      <c r="G205" s="1">
        <f>VLOOKUP(B205,candidate!A:E,2,FALSE)</f>
        <v>17</v>
      </c>
      <c r="H205" s="1">
        <f>VLOOKUP(G205,job_openings!A:B,2,FALSE)</f>
        <v>2</v>
      </c>
      <c r="I205" s="1" t="str">
        <f>VLOOKUP(H205,departments!A:B,2,FALSE)</f>
        <v>Sales</v>
      </c>
      <c r="J205" s="1" t="str">
        <f>VLOOKUP(B205,candidate!A:E,5,FALSE)</f>
        <v>Referral</v>
      </c>
    </row>
    <row r="206" spans="1:10" x14ac:dyDescent="0.25">
      <c r="A206" s="1">
        <v>115</v>
      </c>
      <c r="B206" s="1">
        <v>835</v>
      </c>
      <c r="C206" s="6">
        <v>45823</v>
      </c>
      <c r="D206" s="1">
        <v>40</v>
      </c>
      <c r="E206" s="1">
        <v>983139.53</v>
      </c>
      <c r="F206" s="1" t="s">
        <v>7</v>
      </c>
      <c r="G206" s="1">
        <f>VLOOKUP(B206,candidate!A:E,2,FALSE)</f>
        <v>21</v>
      </c>
      <c r="H206" s="1">
        <f>VLOOKUP(G206,job_openings!A:B,2,FALSE)</f>
        <v>1</v>
      </c>
      <c r="I206" s="1" t="str">
        <f>VLOOKUP(H206,departments!A:B,2,FALSE)</f>
        <v>Engineering</v>
      </c>
      <c r="J206" s="1" t="str">
        <f>VLOOKUP(B206,candidate!A:E,5,FALSE)</f>
        <v>Job Board</v>
      </c>
    </row>
    <row r="207" spans="1:10" x14ac:dyDescent="0.25">
      <c r="A207" s="1">
        <v>60</v>
      </c>
      <c r="B207" s="1">
        <v>442</v>
      </c>
      <c r="C207" s="6">
        <v>45761</v>
      </c>
      <c r="D207" s="1">
        <v>35</v>
      </c>
      <c r="E207" s="1">
        <v>1173000</v>
      </c>
      <c r="F207" s="1" t="s">
        <v>6</v>
      </c>
      <c r="G207" s="1">
        <f>VLOOKUP(B207,candidate!A:E,2,FALSE)</f>
        <v>11</v>
      </c>
      <c r="H207" s="1">
        <f>VLOOKUP(G207,job_openings!A:B,2,FALSE)</f>
        <v>1</v>
      </c>
      <c r="I207" s="1" t="str">
        <f>VLOOKUP(H207,departments!A:B,2,FALSE)</f>
        <v>Engineering</v>
      </c>
      <c r="J207" s="1" t="str">
        <f>VLOOKUP(B207,candidate!A:E,5,FALSE)</f>
        <v>Walk-in</v>
      </c>
    </row>
    <row r="208" spans="1:10" x14ac:dyDescent="0.25">
      <c r="A208" s="1">
        <v>198</v>
      </c>
      <c r="B208" s="1">
        <v>1439</v>
      </c>
      <c r="C208" s="6">
        <v>45887</v>
      </c>
      <c r="D208" s="1">
        <v>13</v>
      </c>
      <c r="E208" s="1">
        <v>336000</v>
      </c>
      <c r="F208" s="1" t="s">
        <v>6</v>
      </c>
      <c r="G208" s="1">
        <f>VLOOKUP(B208,candidate!A:E,2,FALSE)</f>
        <v>38</v>
      </c>
      <c r="H208" s="1">
        <f>VLOOKUP(G208,job_openings!A:B,2,FALSE)</f>
        <v>3</v>
      </c>
      <c r="I208" s="1" t="str">
        <f>VLOOKUP(H208,departments!A:B,2,FALSE)</f>
        <v>Customer Support</v>
      </c>
      <c r="J208" s="1" t="str">
        <f>VLOOKUP(B208,candidate!A:E,5,FALSE)</f>
        <v>Job Board</v>
      </c>
    </row>
    <row r="209" spans="1:10" x14ac:dyDescent="0.25">
      <c r="A209" s="1">
        <v>102</v>
      </c>
      <c r="B209" s="1">
        <v>712</v>
      </c>
      <c r="C209" s="6">
        <v>45777</v>
      </c>
      <c r="D209" s="1">
        <v>17</v>
      </c>
      <c r="E209" s="1">
        <v>320000</v>
      </c>
      <c r="F209" s="1" t="s">
        <v>6</v>
      </c>
      <c r="G209" s="1">
        <f>VLOOKUP(B209,candidate!A:E,2,FALSE)</f>
        <v>18</v>
      </c>
      <c r="H209" s="1">
        <f>VLOOKUP(G209,job_openings!A:B,2,FALSE)</f>
        <v>3</v>
      </c>
      <c r="I209" s="1" t="str">
        <f>VLOOKUP(H209,departments!A:B,2,FALSE)</f>
        <v>Customer Support</v>
      </c>
      <c r="J209" s="1" t="str">
        <f>VLOOKUP(B209,candidate!A:E,5,FALSE)</f>
        <v>Job Board</v>
      </c>
    </row>
    <row r="210" spans="1:10" x14ac:dyDescent="0.25">
      <c r="A210" s="1">
        <v>7</v>
      </c>
      <c r="B210" s="1">
        <v>32</v>
      </c>
      <c r="C210" s="6">
        <v>45703</v>
      </c>
      <c r="D210" s="1">
        <v>27</v>
      </c>
      <c r="E210" s="1">
        <v>1069000</v>
      </c>
      <c r="F210" s="1" t="s">
        <v>6</v>
      </c>
      <c r="G210" s="1">
        <f>VLOOKUP(B210,candidate!A:E,2,FALSE)</f>
        <v>1</v>
      </c>
      <c r="H210" s="1">
        <f>VLOOKUP(G210,job_openings!A:B,2,FALSE)</f>
        <v>1</v>
      </c>
      <c r="I210" s="1" t="str">
        <f>VLOOKUP(H210,departments!A:B,2,FALSE)</f>
        <v>Engineering</v>
      </c>
      <c r="J210" s="1" t="str">
        <f>VLOOKUP(B210,candidate!A:E,5,FALSE)</f>
        <v>Referral</v>
      </c>
    </row>
    <row r="211" spans="1:10" x14ac:dyDescent="0.25">
      <c r="A211" s="1">
        <v>238</v>
      </c>
      <c r="B211" s="1">
        <v>1728</v>
      </c>
      <c r="C211" s="6">
        <v>45937</v>
      </c>
      <c r="D211" s="1">
        <v>30</v>
      </c>
      <c r="E211" s="1">
        <v>435000</v>
      </c>
      <c r="F211" s="1" t="s">
        <v>6</v>
      </c>
      <c r="G211" s="1">
        <f>VLOOKUP(B211,candidate!A:E,2,FALSE)</f>
        <v>44</v>
      </c>
      <c r="H211" s="1">
        <f>VLOOKUP(G211,job_openings!A:B,2,FALSE)</f>
        <v>4</v>
      </c>
      <c r="I211" s="1" t="str">
        <f>VLOOKUP(H211,departments!A:B,2,FALSE)</f>
        <v>Operations</v>
      </c>
      <c r="J211" s="1" t="str">
        <f>VLOOKUP(B211,candidate!A:E,5,FALSE)</f>
        <v>Referral</v>
      </c>
    </row>
    <row r="212" spans="1:10" x14ac:dyDescent="0.25">
      <c r="A212" s="1">
        <v>58</v>
      </c>
      <c r="B212" s="1">
        <v>440</v>
      </c>
      <c r="C212" s="6">
        <v>45776</v>
      </c>
      <c r="D212" s="1">
        <v>45</v>
      </c>
      <c r="E212" s="1">
        <v>880000</v>
      </c>
      <c r="F212" s="1" t="s">
        <v>6</v>
      </c>
      <c r="G212" s="1">
        <f>VLOOKUP(B212,candidate!A:E,2,FALSE)</f>
        <v>11</v>
      </c>
      <c r="H212" s="1">
        <f>VLOOKUP(G212,job_openings!A:B,2,FALSE)</f>
        <v>1</v>
      </c>
      <c r="I212" s="1" t="str">
        <f>VLOOKUP(H212,departments!A:B,2,FALSE)</f>
        <v>Engineering</v>
      </c>
      <c r="J212" s="1" t="str">
        <f>VLOOKUP(B212,candidate!A:E,5,FALSE)</f>
        <v>Job Board</v>
      </c>
    </row>
    <row r="213" spans="1:10" x14ac:dyDescent="0.25">
      <c r="A213" s="1">
        <v>116</v>
      </c>
      <c r="B213" s="1">
        <v>841</v>
      </c>
      <c r="C213" s="6">
        <v>45843</v>
      </c>
      <c r="D213" s="1">
        <v>48</v>
      </c>
      <c r="E213" s="1">
        <v>889000</v>
      </c>
      <c r="F213" s="1" t="s">
        <v>6</v>
      </c>
      <c r="G213" s="1">
        <f>VLOOKUP(B213,candidate!A:E,2,FALSE)</f>
        <v>21</v>
      </c>
      <c r="H213" s="1">
        <f>VLOOKUP(G213,job_openings!A:B,2,FALSE)</f>
        <v>1</v>
      </c>
      <c r="I213" s="1" t="str">
        <f>VLOOKUP(H213,departments!A:B,2,FALSE)</f>
        <v>Engineering</v>
      </c>
      <c r="J213" s="1" t="str">
        <f>VLOOKUP(B213,candidate!A:E,5,FALSE)</f>
        <v>LinkedIn</v>
      </c>
    </row>
    <row r="214" spans="1:10" x14ac:dyDescent="0.25">
      <c r="A214" s="1">
        <v>28</v>
      </c>
      <c r="B214" s="1">
        <v>194</v>
      </c>
      <c r="C214" s="6">
        <v>45688</v>
      </c>
      <c r="D214" s="1">
        <v>27</v>
      </c>
      <c r="E214" s="1">
        <v>466000</v>
      </c>
      <c r="F214" s="1" t="s">
        <v>6</v>
      </c>
      <c r="G214" s="1">
        <f>VLOOKUP(B214,candidate!A:E,2,FALSE)</f>
        <v>4</v>
      </c>
      <c r="H214" s="1">
        <f>VLOOKUP(G214,job_openings!A:B,2,FALSE)</f>
        <v>4</v>
      </c>
      <c r="I214" s="1" t="str">
        <f>VLOOKUP(H214,departments!A:B,2,FALSE)</f>
        <v>Operations</v>
      </c>
      <c r="J214" s="1" t="str">
        <f>VLOOKUP(B214,candidate!A:E,5,FALSE)</f>
        <v>Job Board</v>
      </c>
    </row>
    <row r="215" spans="1:10" x14ac:dyDescent="0.25">
      <c r="A215" s="1">
        <v>183</v>
      </c>
      <c r="B215" s="1">
        <v>1301</v>
      </c>
      <c r="C215" s="6">
        <v>45849</v>
      </c>
      <c r="D215" s="1">
        <v>5</v>
      </c>
      <c r="E215" s="1">
        <v>352000</v>
      </c>
      <c r="F215" s="1" t="s">
        <v>7</v>
      </c>
      <c r="G215" s="1">
        <f>VLOOKUP(B215,candidate!A:E,2,FALSE)</f>
        <v>33</v>
      </c>
      <c r="H215" s="1">
        <f>VLOOKUP(G215,job_openings!A:B,2,FALSE)</f>
        <v>3</v>
      </c>
      <c r="I215" s="1" t="str">
        <f>VLOOKUP(H215,departments!A:B,2,FALSE)</f>
        <v>Customer Support</v>
      </c>
      <c r="J215" s="1" t="str">
        <f>VLOOKUP(B215,candidate!A:E,5,FALSE)</f>
        <v>Job Board</v>
      </c>
    </row>
    <row r="216" spans="1:10" x14ac:dyDescent="0.25">
      <c r="A216" s="1">
        <v>272</v>
      </c>
      <c r="B216" s="1">
        <v>2010</v>
      </c>
      <c r="C216" s="6">
        <v>46003</v>
      </c>
      <c r="D216" s="1">
        <v>24</v>
      </c>
      <c r="E216" s="1">
        <v>379000</v>
      </c>
      <c r="F216" s="1" t="s">
        <v>6</v>
      </c>
      <c r="G216" s="1">
        <f>VLOOKUP(B216,candidate!A:E,2,FALSE)</f>
        <v>53</v>
      </c>
      <c r="H216" s="1">
        <f>VLOOKUP(G216,job_openings!A:B,2,FALSE)</f>
        <v>3</v>
      </c>
      <c r="I216" s="1" t="str">
        <f>VLOOKUP(H216,departments!A:B,2,FALSE)</f>
        <v>Customer Support</v>
      </c>
      <c r="J216" s="1" t="str">
        <f>VLOOKUP(B216,candidate!A:E,5,FALSE)</f>
        <v>Job Board</v>
      </c>
    </row>
    <row r="217" spans="1:10" x14ac:dyDescent="0.25">
      <c r="A217" s="1">
        <v>196</v>
      </c>
      <c r="B217" s="1">
        <v>1432</v>
      </c>
      <c r="C217" s="6">
        <v>45921</v>
      </c>
      <c r="D217" s="1">
        <v>30</v>
      </c>
      <c r="E217" s="1">
        <v>615000</v>
      </c>
      <c r="F217" s="1" t="s">
        <v>6</v>
      </c>
      <c r="G217" s="1">
        <f>VLOOKUP(B217,candidate!A:E,2,FALSE)</f>
        <v>37</v>
      </c>
      <c r="H217" s="1">
        <f>VLOOKUP(G217,job_openings!A:B,2,FALSE)</f>
        <v>2</v>
      </c>
      <c r="I217" s="1" t="str">
        <f>VLOOKUP(H217,departments!A:B,2,FALSE)</f>
        <v>Sales</v>
      </c>
      <c r="J217" s="1" t="str">
        <f>VLOOKUP(B217,candidate!A:E,5,FALSE)</f>
        <v>LinkedIn</v>
      </c>
    </row>
    <row r="218" spans="1:10" x14ac:dyDescent="0.25">
      <c r="A218" s="1">
        <v>96</v>
      </c>
      <c r="B218" s="1">
        <v>685</v>
      </c>
      <c r="C218" s="6">
        <v>45802</v>
      </c>
      <c r="D218" s="1">
        <v>28</v>
      </c>
      <c r="E218" s="1">
        <v>614000</v>
      </c>
      <c r="F218" s="1" t="s">
        <v>6</v>
      </c>
      <c r="G218" s="1">
        <f>VLOOKUP(B218,candidate!A:E,2,FALSE)</f>
        <v>17</v>
      </c>
      <c r="H218" s="1">
        <f>VLOOKUP(G218,job_openings!A:B,2,FALSE)</f>
        <v>2</v>
      </c>
      <c r="I218" s="1" t="str">
        <f>VLOOKUP(H218,departments!A:B,2,FALSE)</f>
        <v>Sales</v>
      </c>
      <c r="J218" s="1" t="str">
        <f>VLOOKUP(B218,candidate!A:E,5,FALSE)</f>
        <v>LinkedIn</v>
      </c>
    </row>
    <row r="219" spans="1:10" x14ac:dyDescent="0.25">
      <c r="A219" s="1">
        <v>101</v>
      </c>
      <c r="B219" s="1">
        <v>711</v>
      </c>
      <c r="C219" s="6">
        <v>45796</v>
      </c>
      <c r="D219" s="1">
        <v>22</v>
      </c>
      <c r="E219" s="1">
        <v>297000</v>
      </c>
      <c r="F219" s="1" t="s">
        <v>6</v>
      </c>
      <c r="G219" s="1">
        <f>VLOOKUP(B219,candidate!A:E,2,FALSE)</f>
        <v>18</v>
      </c>
      <c r="H219" s="1">
        <f>VLOOKUP(G219,job_openings!A:B,2,FALSE)</f>
        <v>3</v>
      </c>
      <c r="I219" s="1" t="str">
        <f>VLOOKUP(H219,departments!A:B,2,FALSE)</f>
        <v>Customer Support</v>
      </c>
      <c r="J219" s="1" t="str">
        <f>VLOOKUP(B219,candidate!A:E,5,FALSE)</f>
        <v>Referral</v>
      </c>
    </row>
    <row r="220" spans="1:10" x14ac:dyDescent="0.25">
      <c r="A220" s="1">
        <v>187</v>
      </c>
      <c r="B220" s="1">
        <v>1359</v>
      </c>
      <c r="C220" s="6">
        <v>45883</v>
      </c>
      <c r="D220" s="1">
        <v>30</v>
      </c>
      <c r="E220" s="1">
        <v>417000</v>
      </c>
      <c r="F220" s="1" t="s">
        <v>7</v>
      </c>
      <c r="G220" s="1">
        <f>VLOOKUP(B220,candidate!A:E,2,FALSE)</f>
        <v>34</v>
      </c>
      <c r="H220" s="1">
        <f>VLOOKUP(G220,job_openings!A:B,2,FALSE)</f>
        <v>4</v>
      </c>
      <c r="I220" s="1" t="str">
        <f>VLOOKUP(H220,departments!A:B,2,FALSE)</f>
        <v>Operations</v>
      </c>
      <c r="J220" s="1" t="str">
        <f>VLOOKUP(B220,candidate!A:E,5,FALSE)</f>
        <v>LinkedIn</v>
      </c>
    </row>
    <row r="221" spans="1:10" x14ac:dyDescent="0.25">
      <c r="A221" s="1">
        <v>128</v>
      </c>
      <c r="B221" s="1">
        <v>913</v>
      </c>
      <c r="C221" s="6">
        <v>45805</v>
      </c>
      <c r="D221" s="1">
        <v>8</v>
      </c>
      <c r="E221" s="1">
        <v>359000</v>
      </c>
      <c r="F221" s="1" t="s">
        <v>6</v>
      </c>
      <c r="G221" s="1">
        <f>VLOOKUP(B221,candidate!A:E,2,FALSE)</f>
        <v>23</v>
      </c>
      <c r="H221" s="1">
        <f>VLOOKUP(G221,job_openings!A:B,2,FALSE)</f>
        <v>3</v>
      </c>
      <c r="I221" s="1" t="str">
        <f>VLOOKUP(H221,departments!A:B,2,FALSE)</f>
        <v>Customer Support</v>
      </c>
      <c r="J221" s="1" t="str">
        <f>VLOOKUP(B221,candidate!A:E,5,FALSE)</f>
        <v>LinkedIn</v>
      </c>
    </row>
    <row r="222" spans="1:10" x14ac:dyDescent="0.25">
      <c r="A222" s="1">
        <v>5</v>
      </c>
      <c r="B222" s="1">
        <v>13</v>
      </c>
      <c r="C222" s="6">
        <v>45728</v>
      </c>
      <c r="D222" s="1">
        <v>57</v>
      </c>
      <c r="E222" s="1">
        <v>869000</v>
      </c>
      <c r="F222" s="1" t="s">
        <v>6</v>
      </c>
      <c r="G222" s="1">
        <f>VLOOKUP(B222,candidate!A:E,2,FALSE)</f>
        <v>1</v>
      </c>
      <c r="H222" s="1">
        <f>VLOOKUP(G222,job_openings!A:B,2,FALSE)</f>
        <v>1</v>
      </c>
      <c r="I222" s="1" t="str">
        <f>VLOOKUP(H222,departments!A:B,2,FALSE)</f>
        <v>Engineering</v>
      </c>
      <c r="J222" s="1" t="str">
        <f>VLOOKUP(B222,candidate!A:E,5,FALSE)</f>
        <v>Job Board</v>
      </c>
    </row>
    <row r="223" spans="1:10" x14ac:dyDescent="0.25">
      <c r="A223" s="1">
        <v>98</v>
      </c>
      <c r="B223" s="1">
        <v>703</v>
      </c>
      <c r="C223" s="6">
        <v>45774</v>
      </c>
      <c r="D223" s="1">
        <v>5</v>
      </c>
      <c r="E223" s="1">
        <v>314000</v>
      </c>
      <c r="F223" s="1" t="s">
        <v>6</v>
      </c>
      <c r="G223" s="1">
        <f>VLOOKUP(B223,candidate!A:E,2,FALSE)</f>
        <v>18</v>
      </c>
      <c r="H223" s="1">
        <f>VLOOKUP(G223,job_openings!A:B,2,FALSE)</f>
        <v>3</v>
      </c>
      <c r="I223" s="1" t="str">
        <f>VLOOKUP(H223,departments!A:B,2,FALSE)</f>
        <v>Customer Support</v>
      </c>
      <c r="J223" s="1" t="str">
        <f>VLOOKUP(B223,candidate!A:E,5,FALSE)</f>
        <v>Job Board</v>
      </c>
    </row>
    <row r="224" spans="1:10" x14ac:dyDescent="0.25">
      <c r="A224" s="1">
        <v>63</v>
      </c>
      <c r="B224" s="1">
        <v>459</v>
      </c>
      <c r="C224" s="6">
        <v>45772</v>
      </c>
      <c r="D224" s="1">
        <v>38</v>
      </c>
      <c r="E224" s="1">
        <v>814000</v>
      </c>
      <c r="F224" s="1" t="s">
        <v>7</v>
      </c>
      <c r="G224" s="1">
        <f>VLOOKUP(B224,candidate!A:E,2,FALSE)</f>
        <v>11</v>
      </c>
      <c r="H224" s="1">
        <f>VLOOKUP(G224,job_openings!A:B,2,FALSE)</f>
        <v>1</v>
      </c>
      <c r="I224" s="1" t="str">
        <f>VLOOKUP(H224,departments!A:B,2,FALSE)</f>
        <v>Engineering</v>
      </c>
      <c r="J224" s="1" t="str">
        <f>VLOOKUP(B224,candidate!A:E,5,FALSE)</f>
        <v>LinkedIn</v>
      </c>
    </row>
    <row r="225" spans="1:10" x14ac:dyDescent="0.25">
      <c r="A225" s="1">
        <v>130</v>
      </c>
      <c r="B225" s="1">
        <v>926</v>
      </c>
      <c r="C225" s="6">
        <v>45818</v>
      </c>
      <c r="D225" s="1">
        <v>13</v>
      </c>
      <c r="E225" s="1">
        <v>372000</v>
      </c>
      <c r="F225" s="1" t="s">
        <v>7</v>
      </c>
      <c r="G225" s="1">
        <f>VLOOKUP(B225,candidate!A:E,2,FALSE)</f>
        <v>23</v>
      </c>
      <c r="H225" s="1">
        <f>VLOOKUP(G225,job_openings!A:B,2,FALSE)</f>
        <v>3</v>
      </c>
      <c r="I225" s="1" t="str">
        <f>VLOOKUP(H225,departments!A:B,2,FALSE)</f>
        <v>Customer Support</v>
      </c>
      <c r="J225" s="1" t="str">
        <f>VLOOKUP(B225,candidate!A:E,5,FALSE)</f>
        <v>Job Board</v>
      </c>
    </row>
    <row r="226" spans="1:10" x14ac:dyDescent="0.25">
      <c r="A226" s="1">
        <v>137</v>
      </c>
      <c r="B226" s="1">
        <v>965</v>
      </c>
      <c r="C226" s="6">
        <v>45820</v>
      </c>
      <c r="D226" s="1">
        <v>28</v>
      </c>
      <c r="E226" s="1">
        <v>383000</v>
      </c>
      <c r="F226" s="1" t="s">
        <v>6</v>
      </c>
      <c r="G226" s="1">
        <f>VLOOKUP(B226,candidate!A:E,2,FALSE)</f>
        <v>24</v>
      </c>
      <c r="H226" s="1">
        <f>VLOOKUP(G226,job_openings!A:B,2,FALSE)</f>
        <v>4</v>
      </c>
      <c r="I226" s="1" t="str">
        <f>VLOOKUP(H226,departments!A:B,2,FALSE)</f>
        <v>Operations</v>
      </c>
      <c r="J226" s="1" t="str">
        <f>VLOOKUP(B226,candidate!A:E,5,FALSE)</f>
        <v>Referral</v>
      </c>
    </row>
    <row r="227" spans="1:10" x14ac:dyDescent="0.25">
      <c r="A227" s="1">
        <v>180</v>
      </c>
      <c r="B227" s="1">
        <v>1283</v>
      </c>
      <c r="C227" s="6">
        <v>45844</v>
      </c>
      <c r="D227" s="1">
        <v>5</v>
      </c>
      <c r="E227" s="1">
        <v>277000</v>
      </c>
      <c r="F227" s="1" t="s">
        <v>6</v>
      </c>
      <c r="G227" s="1">
        <f>VLOOKUP(B227,candidate!A:E,2,FALSE)</f>
        <v>33</v>
      </c>
      <c r="H227" s="1">
        <f>VLOOKUP(G227,job_openings!A:B,2,FALSE)</f>
        <v>3</v>
      </c>
      <c r="I227" s="1" t="str">
        <f>VLOOKUP(H227,departments!A:B,2,FALSE)</f>
        <v>Customer Support</v>
      </c>
      <c r="J227" s="1" t="str">
        <f>VLOOKUP(B227,candidate!A:E,5,FALSE)</f>
        <v>Referral</v>
      </c>
    </row>
    <row r="228" spans="1:10" x14ac:dyDescent="0.25">
      <c r="A228" s="1">
        <v>73</v>
      </c>
      <c r="B228" s="1">
        <v>518</v>
      </c>
      <c r="C228" s="6">
        <v>45734</v>
      </c>
      <c r="D228" s="1">
        <v>5</v>
      </c>
      <c r="E228" s="1">
        <v>385000</v>
      </c>
      <c r="F228" s="1" t="s">
        <v>6</v>
      </c>
      <c r="G228" s="1">
        <f>VLOOKUP(B228,candidate!A:E,2,FALSE)</f>
        <v>13</v>
      </c>
      <c r="H228" s="1">
        <f>VLOOKUP(G228,job_openings!A:B,2,FALSE)</f>
        <v>3</v>
      </c>
      <c r="I228" s="1" t="str">
        <f>VLOOKUP(H228,departments!A:B,2,FALSE)</f>
        <v>Customer Support</v>
      </c>
      <c r="J228" s="1" t="str">
        <f>VLOOKUP(B228,candidate!A:E,5,FALSE)</f>
        <v>Job Board</v>
      </c>
    </row>
    <row r="229" spans="1:10" x14ac:dyDescent="0.25">
      <c r="A229" s="1">
        <v>124</v>
      </c>
      <c r="B229" s="1">
        <v>894</v>
      </c>
      <c r="C229" s="6">
        <v>45833</v>
      </c>
      <c r="D229" s="1">
        <v>37</v>
      </c>
      <c r="E229" s="1">
        <v>548000</v>
      </c>
      <c r="F229" s="1" t="s">
        <v>6</v>
      </c>
      <c r="G229" s="1">
        <f>VLOOKUP(B229,candidate!A:E,2,FALSE)</f>
        <v>22</v>
      </c>
      <c r="H229" s="1">
        <f>VLOOKUP(G229,job_openings!A:B,2,FALSE)</f>
        <v>2</v>
      </c>
      <c r="I229" s="1" t="str">
        <f>VLOOKUP(H229,departments!A:B,2,FALSE)</f>
        <v>Sales</v>
      </c>
      <c r="J229" s="1" t="str">
        <f>VLOOKUP(B229,candidate!A:E,5,FALSE)</f>
        <v>LinkedIn</v>
      </c>
    </row>
    <row r="230" spans="1:10" x14ac:dyDescent="0.25">
      <c r="A230" s="1">
        <v>72</v>
      </c>
      <c r="B230" s="1">
        <v>517</v>
      </c>
      <c r="C230" s="6">
        <v>45756</v>
      </c>
      <c r="D230" s="1">
        <v>16</v>
      </c>
      <c r="E230" s="1">
        <v>344000</v>
      </c>
      <c r="F230" s="1" t="s">
        <v>7</v>
      </c>
      <c r="G230" s="1">
        <f>VLOOKUP(B230,candidate!A:E,2,FALSE)</f>
        <v>13</v>
      </c>
      <c r="H230" s="1">
        <f>VLOOKUP(G230,job_openings!A:B,2,FALSE)</f>
        <v>3</v>
      </c>
      <c r="I230" s="1" t="str">
        <f>VLOOKUP(H230,departments!A:B,2,FALSE)</f>
        <v>Customer Support</v>
      </c>
      <c r="J230" s="1" t="str">
        <f>VLOOKUP(B230,candidate!A:E,5,FALSE)</f>
        <v>Referral</v>
      </c>
    </row>
    <row r="231" spans="1:10" x14ac:dyDescent="0.25">
      <c r="A231" s="1">
        <v>144</v>
      </c>
      <c r="B231" s="1">
        <v>1001</v>
      </c>
      <c r="C231" s="6">
        <v>45876</v>
      </c>
      <c r="D231" s="1">
        <v>40</v>
      </c>
      <c r="E231" s="1">
        <v>981000</v>
      </c>
      <c r="F231" s="1" t="s">
        <v>6</v>
      </c>
      <c r="G231" s="1">
        <f>VLOOKUP(B231,candidate!A:E,2,FALSE)</f>
        <v>26</v>
      </c>
      <c r="H231" s="1">
        <f>VLOOKUP(G231,job_openings!A:B,2,FALSE)</f>
        <v>1</v>
      </c>
      <c r="I231" s="1" t="str">
        <f>VLOOKUP(H231,departments!A:B,2,FALSE)</f>
        <v>Engineering</v>
      </c>
      <c r="J231" s="1" t="str">
        <f>VLOOKUP(B231,candidate!A:E,5,FALSE)</f>
        <v>Referral</v>
      </c>
    </row>
    <row r="232" spans="1:10" x14ac:dyDescent="0.25">
      <c r="A232" s="1">
        <v>105</v>
      </c>
      <c r="B232" s="1">
        <v>728</v>
      </c>
      <c r="C232" s="6">
        <v>45777</v>
      </c>
      <c r="D232" s="1">
        <v>8</v>
      </c>
      <c r="E232" s="1">
        <v>388000</v>
      </c>
      <c r="F232" s="1" t="s">
        <v>6</v>
      </c>
      <c r="G232" s="1">
        <f>VLOOKUP(B232,candidate!A:E,2,FALSE)</f>
        <v>18</v>
      </c>
      <c r="H232" s="1">
        <f>VLOOKUP(G232,job_openings!A:B,2,FALSE)</f>
        <v>3</v>
      </c>
      <c r="I232" s="1" t="str">
        <f>VLOOKUP(H232,departments!A:B,2,FALSE)</f>
        <v>Customer Support</v>
      </c>
      <c r="J232" s="1" t="str">
        <f>VLOOKUP(B232,candidate!A:E,5,FALSE)</f>
        <v>LinkedIn</v>
      </c>
    </row>
    <row r="233" spans="1:10" x14ac:dyDescent="0.25">
      <c r="A233" s="1">
        <v>57</v>
      </c>
      <c r="B233" s="1">
        <v>426</v>
      </c>
      <c r="C233" s="6">
        <v>45707</v>
      </c>
      <c r="D233" s="1">
        <v>18</v>
      </c>
      <c r="E233" s="1">
        <v>539000</v>
      </c>
      <c r="F233" s="1" t="s">
        <v>6</v>
      </c>
      <c r="G233" s="1">
        <f>VLOOKUP(B233,candidate!A:E,2,FALSE)</f>
        <v>10</v>
      </c>
      <c r="H233" s="1">
        <f>VLOOKUP(G233,job_openings!A:B,2,FALSE)</f>
        <v>5</v>
      </c>
      <c r="I233" s="1" t="str">
        <f>VLOOKUP(H233,departments!A:B,2,FALSE)</f>
        <v>Marketing</v>
      </c>
      <c r="J233" s="1" t="str">
        <f>VLOOKUP(B233,candidate!A:E,5,FALSE)</f>
        <v>Referral</v>
      </c>
    </row>
    <row r="234" spans="1:10" x14ac:dyDescent="0.25">
      <c r="A234" s="1">
        <v>24</v>
      </c>
      <c r="B234" s="1">
        <v>180</v>
      </c>
      <c r="C234" s="6">
        <v>45687</v>
      </c>
      <c r="D234" s="1">
        <v>8</v>
      </c>
      <c r="E234" s="1">
        <v>344000</v>
      </c>
      <c r="F234" s="1" t="s">
        <v>6</v>
      </c>
      <c r="G234" s="1">
        <f>VLOOKUP(B234,candidate!A:E,2,FALSE)</f>
        <v>3</v>
      </c>
      <c r="H234" s="1">
        <f>VLOOKUP(G234,job_openings!A:B,2,FALSE)</f>
        <v>3</v>
      </c>
      <c r="I234" s="1" t="str">
        <f>VLOOKUP(H234,departments!A:B,2,FALSE)</f>
        <v>Customer Support</v>
      </c>
      <c r="J234" s="1" t="str">
        <f>VLOOKUP(B234,candidate!A:E,5,FALSE)</f>
        <v>Referral</v>
      </c>
    </row>
    <row r="235" spans="1:10" x14ac:dyDescent="0.25">
      <c r="A235" s="1">
        <v>110</v>
      </c>
      <c r="B235" s="1">
        <v>796</v>
      </c>
      <c r="C235" s="6">
        <v>45784</v>
      </c>
      <c r="D235" s="1">
        <v>21</v>
      </c>
      <c r="E235" s="1">
        <v>346000</v>
      </c>
      <c r="F235" s="1" t="s">
        <v>6</v>
      </c>
      <c r="G235" s="1">
        <f>VLOOKUP(B235,candidate!A:E,2,FALSE)</f>
        <v>19</v>
      </c>
      <c r="H235" s="1">
        <f>VLOOKUP(G235,job_openings!A:B,2,FALSE)</f>
        <v>4</v>
      </c>
      <c r="I235" s="1" t="str">
        <f>VLOOKUP(H235,departments!A:B,2,FALSE)</f>
        <v>Operations</v>
      </c>
      <c r="J235" s="1" t="str">
        <f>VLOOKUP(B235,candidate!A:E,5,FALSE)</f>
        <v>Job Board</v>
      </c>
    </row>
    <row r="236" spans="1:10" x14ac:dyDescent="0.25">
      <c r="A236" s="1">
        <v>75</v>
      </c>
      <c r="B236" s="1">
        <v>525</v>
      </c>
      <c r="C236" s="6">
        <v>45748</v>
      </c>
      <c r="D236" s="1">
        <v>13</v>
      </c>
      <c r="E236" s="1">
        <v>361000</v>
      </c>
      <c r="F236" s="1" t="s">
        <v>6</v>
      </c>
      <c r="G236" s="1">
        <f>VLOOKUP(B236,candidate!A:E,2,FALSE)</f>
        <v>13</v>
      </c>
      <c r="H236" s="1">
        <f>VLOOKUP(G236,job_openings!A:B,2,FALSE)</f>
        <v>3</v>
      </c>
      <c r="I236" s="1" t="str">
        <f>VLOOKUP(H236,departments!A:B,2,FALSE)</f>
        <v>Customer Support</v>
      </c>
      <c r="J236" s="1" t="str">
        <f>VLOOKUP(B236,candidate!A:E,5,FALSE)</f>
        <v>Referral</v>
      </c>
    </row>
    <row r="237" spans="1:10" x14ac:dyDescent="0.25">
      <c r="A237" s="1">
        <v>97</v>
      </c>
      <c r="B237" s="1">
        <v>699</v>
      </c>
      <c r="C237" s="6">
        <v>45766</v>
      </c>
      <c r="D237" s="1">
        <v>15</v>
      </c>
      <c r="E237" s="1">
        <v>390000</v>
      </c>
      <c r="F237" s="1" t="s">
        <v>6</v>
      </c>
      <c r="G237" s="1">
        <f>VLOOKUP(B237,candidate!A:E,2,FALSE)</f>
        <v>18</v>
      </c>
      <c r="H237" s="1">
        <f>VLOOKUP(G237,job_openings!A:B,2,FALSE)</f>
        <v>3</v>
      </c>
      <c r="I237" s="1" t="str">
        <f>VLOOKUP(H237,departments!A:B,2,FALSE)</f>
        <v>Customer Support</v>
      </c>
      <c r="J237" s="1" t="str">
        <f>VLOOKUP(B237,candidate!A:E,5,FALSE)</f>
        <v>LinkedIn</v>
      </c>
    </row>
    <row r="238" spans="1:10" x14ac:dyDescent="0.25">
      <c r="A238" s="1">
        <v>121</v>
      </c>
      <c r="B238" s="1">
        <v>890</v>
      </c>
      <c r="C238" s="6">
        <v>45798</v>
      </c>
      <c r="D238" s="1">
        <v>15</v>
      </c>
      <c r="E238" s="1">
        <v>659000</v>
      </c>
      <c r="F238" s="1" t="s">
        <v>6</v>
      </c>
      <c r="G238" s="1">
        <f>VLOOKUP(B238,candidate!A:E,2,FALSE)</f>
        <v>22</v>
      </c>
      <c r="H238" s="1">
        <f>VLOOKUP(G238,job_openings!A:B,2,FALSE)</f>
        <v>2</v>
      </c>
      <c r="I238" s="1" t="str">
        <f>VLOOKUP(H238,departments!A:B,2,FALSE)</f>
        <v>Sales</v>
      </c>
      <c r="J238" s="1" t="str">
        <f>VLOOKUP(B238,candidate!A:E,5,FALSE)</f>
        <v>Job Board</v>
      </c>
    </row>
    <row r="239" spans="1:10" x14ac:dyDescent="0.25">
      <c r="A239" s="1">
        <v>148</v>
      </c>
      <c r="B239" s="1">
        <v>1029</v>
      </c>
      <c r="C239" s="6">
        <v>45864</v>
      </c>
      <c r="D239" s="1">
        <v>39</v>
      </c>
      <c r="E239" s="1">
        <v>656000</v>
      </c>
      <c r="F239" s="1" t="s">
        <v>6</v>
      </c>
      <c r="G239" s="1">
        <f>VLOOKUP(B239,candidate!A:E,2,FALSE)</f>
        <v>27</v>
      </c>
      <c r="H239" s="1">
        <f>VLOOKUP(G239,job_openings!A:B,2,FALSE)</f>
        <v>2</v>
      </c>
      <c r="I239" s="1" t="str">
        <f>VLOOKUP(H239,departments!A:B,2,FALSE)</f>
        <v>Sales</v>
      </c>
      <c r="J239" s="1" t="str">
        <f>VLOOKUP(B239,candidate!A:E,5,FALSE)</f>
        <v>LinkedIn</v>
      </c>
    </row>
    <row r="240" spans="1:10" x14ac:dyDescent="0.25">
      <c r="A240" s="1">
        <v>168</v>
      </c>
      <c r="B240" s="1">
        <v>1222</v>
      </c>
      <c r="C240" s="6">
        <v>45863</v>
      </c>
      <c r="D240" s="1">
        <v>24</v>
      </c>
      <c r="E240" s="1">
        <v>575000</v>
      </c>
      <c r="F240" s="1" t="s">
        <v>6</v>
      </c>
      <c r="G240" s="1">
        <f>VLOOKUP(B240,candidate!A:E,2,FALSE)</f>
        <v>32</v>
      </c>
      <c r="H240" s="1">
        <f>VLOOKUP(G240,job_openings!A:B,2,FALSE)</f>
        <v>2</v>
      </c>
      <c r="I240" s="1" t="str">
        <f>VLOOKUP(H240,departments!A:B,2,FALSE)</f>
        <v>Sales</v>
      </c>
      <c r="J240" s="1" t="str">
        <f>VLOOKUP(B240,candidate!A:E,5,FALSE)</f>
        <v>Referral</v>
      </c>
    </row>
    <row r="241" spans="1:10" x14ac:dyDescent="0.25">
      <c r="A241" s="1">
        <v>268</v>
      </c>
      <c r="B241" s="1">
        <v>2002</v>
      </c>
      <c r="C241" s="6">
        <v>46006</v>
      </c>
      <c r="D241" s="1">
        <v>31</v>
      </c>
      <c r="E241" s="1">
        <v>315000</v>
      </c>
      <c r="F241" s="1" t="s">
        <v>6</v>
      </c>
      <c r="G241" s="1">
        <f>VLOOKUP(B241,candidate!A:E,2,FALSE)</f>
        <v>53</v>
      </c>
      <c r="H241" s="1">
        <f>VLOOKUP(G241,job_openings!A:B,2,FALSE)</f>
        <v>3</v>
      </c>
      <c r="I241" s="1" t="str">
        <f>VLOOKUP(H241,departments!A:B,2,FALSE)</f>
        <v>Customer Support</v>
      </c>
      <c r="J241" s="1" t="str">
        <f>VLOOKUP(B241,candidate!A:E,5,FALSE)</f>
        <v>LinkedIn</v>
      </c>
    </row>
    <row r="242" spans="1:10" x14ac:dyDescent="0.25">
      <c r="A242" s="1">
        <v>26</v>
      </c>
      <c r="B242" s="1">
        <v>187</v>
      </c>
      <c r="C242" s="6">
        <v>45692</v>
      </c>
      <c r="D242" s="1">
        <v>27</v>
      </c>
      <c r="E242" s="1">
        <v>427000</v>
      </c>
      <c r="F242" s="1" t="s">
        <v>7</v>
      </c>
      <c r="G242" s="1">
        <f>VLOOKUP(B242,candidate!A:E,2,FALSE)</f>
        <v>4</v>
      </c>
      <c r="H242" s="1">
        <f>VLOOKUP(G242,job_openings!A:B,2,FALSE)</f>
        <v>4</v>
      </c>
      <c r="I242" s="1" t="str">
        <f>VLOOKUP(H242,departments!A:B,2,FALSE)</f>
        <v>Operations</v>
      </c>
      <c r="J242" s="1" t="str">
        <f>VLOOKUP(B242,candidate!A:E,5,FALSE)</f>
        <v>Job Board</v>
      </c>
    </row>
    <row r="243" spans="1:10" x14ac:dyDescent="0.25">
      <c r="A243" s="1">
        <v>52</v>
      </c>
      <c r="B243" s="1">
        <v>386</v>
      </c>
      <c r="C243" s="6">
        <v>45727</v>
      </c>
      <c r="D243" s="1">
        <v>28</v>
      </c>
      <c r="E243" s="1">
        <v>444000</v>
      </c>
      <c r="F243" s="1" t="s">
        <v>6</v>
      </c>
      <c r="G243" s="1">
        <f>VLOOKUP(B243,candidate!A:E,2,FALSE)</f>
        <v>9</v>
      </c>
      <c r="H243" s="1">
        <f>VLOOKUP(G243,job_openings!A:B,2,FALSE)</f>
        <v>4</v>
      </c>
      <c r="I243" s="1" t="str">
        <f>VLOOKUP(H243,departments!A:B,2,FALSE)</f>
        <v>Operations</v>
      </c>
      <c r="J243" s="1" t="str">
        <f>VLOOKUP(B243,candidate!A:E,5,FALSE)</f>
        <v>LinkedIn</v>
      </c>
    </row>
    <row r="244" spans="1:10" x14ac:dyDescent="0.25">
      <c r="A244" s="1">
        <v>275</v>
      </c>
      <c r="B244" s="1">
        <v>2063</v>
      </c>
      <c r="C244" s="6">
        <v>45992</v>
      </c>
      <c r="D244" s="1">
        <v>29</v>
      </c>
      <c r="E244" s="1">
        <v>429000</v>
      </c>
      <c r="F244" s="1" t="s">
        <v>6</v>
      </c>
      <c r="G244" s="1">
        <f>VLOOKUP(B244,candidate!A:E,2,FALSE)</f>
        <v>55</v>
      </c>
      <c r="H244" s="1">
        <f>VLOOKUP(G244,job_openings!A:B,2,FALSE)</f>
        <v>5</v>
      </c>
      <c r="I244" s="1" t="str">
        <f>VLOOKUP(H244,departments!A:B,2,FALSE)</f>
        <v>Marketing</v>
      </c>
      <c r="J244" s="1" t="str">
        <f>VLOOKUP(B244,candidate!A:E,5,FALSE)</f>
        <v>Job Board</v>
      </c>
    </row>
    <row r="245" spans="1:10" x14ac:dyDescent="0.25">
      <c r="A245" s="1">
        <v>71</v>
      </c>
      <c r="B245" s="1">
        <v>516</v>
      </c>
      <c r="C245" s="6">
        <v>45749</v>
      </c>
      <c r="D245" s="1">
        <v>22</v>
      </c>
      <c r="E245" s="1">
        <v>286000</v>
      </c>
      <c r="F245" s="1" t="s">
        <v>6</v>
      </c>
      <c r="G245" s="1">
        <f>VLOOKUP(B245,candidate!A:E,2,FALSE)</f>
        <v>13</v>
      </c>
      <c r="H245" s="1">
        <f>VLOOKUP(G245,job_openings!A:B,2,FALSE)</f>
        <v>3</v>
      </c>
      <c r="I245" s="1" t="str">
        <f>VLOOKUP(H245,departments!A:B,2,FALSE)</f>
        <v>Customer Support</v>
      </c>
      <c r="J245" s="1" t="str">
        <f>VLOOKUP(B245,candidate!A:E,5,FALSE)</f>
        <v>Referral</v>
      </c>
    </row>
    <row r="246" spans="1:10" x14ac:dyDescent="0.25">
      <c r="A246" s="1">
        <v>263</v>
      </c>
      <c r="B246" s="1">
        <v>1953</v>
      </c>
      <c r="C246" s="6">
        <v>46013</v>
      </c>
      <c r="D246" s="1">
        <v>38</v>
      </c>
      <c r="E246" s="1">
        <v>1012000</v>
      </c>
      <c r="F246" s="1" t="s">
        <v>6</v>
      </c>
      <c r="G246" s="1">
        <f>VLOOKUP(B246,candidate!A:E,2,FALSE)</f>
        <v>51</v>
      </c>
      <c r="H246" s="1">
        <f>VLOOKUP(G246,job_openings!A:B,2,FALSE)</f>
        <v>1</v>
      </c>
      <c r="I246" s="1" t="str">
        <f>VLOOKUP(H246,departments!A:B,2,FALSE)</f>
        <v>Engineering</v>
      </c>
      <c r="J246" s="1" t="str">
        <f>VLOOKUP(B246,candidate!A:E,5,FALSE)</f>
        <v>LinkedIn</v>
      </c>
    </row>
    <row r="247" spans="1:10" x14ac:dyDescent="0.25">
      <c r="A247" s="1">
        <v>6</v>
      </c>
      <c r="B247" s="1">
        <v>14</v>
      </c>
      <c r="C247" s="6">
        <v>45733</v>
      </c>
      <c r="D247" s="1">
        <v>58</v>
      </c>
      <c r="E247" s="1">
        <v>1151000</v>
      </c>
      <c r="F247" s="1" t="s">
        <v>6</v>
      </c>
      <c r="G247" s="1">
        <f>VLOOKUP(B247,candidate!A:E,2,FALSE)</f>
        <v>1</v>
      </c>
      <c r="H247" s="1">
        <f>VLOOKUP(G247,job_openings!A:B,2,FALSE)</f>
        <v>1</v>
      </c>
      <c r="I247" s="1" t="str">
        <f>VLOOKUP(H247,departments!A:B,2,FALSE)</f>
        <v>Engineering</v>
      </c>
      <c r="J247" s="1" t="str">
        <f>VLOOKUP(B247,candidate!A:E,5,FALSE)</f>
        <v>Referral</v>
      </c>
    </row>
    <row r="248" spans="1:10" x14ac:dyDescent="0.25">
      <c r="A248" s="1">
        <v>191</v>
      </c>
      <c r="B248" s="1">
        <v>1405</v>
      </c>
      <c r="C248" s="6">
        <v>45916</v>
      </c>
      <c r="D248" s="1">
        <v>35</v>
      </c>
      <c r="E248" s="1">
        <v>937000</v>
      </c>
      <c r="F248" s="1" t="s">
        <v>7</v>
      </c>
      <c r="G248" s="1">
        <f>VLOOKUP(B248,candidate!A:E,2,FALSE)</f>
        <v>36</v>
      </c>
      <c r="H248" s="1">
        <f>VLOOKUP(G248,job_openings!A:B,2,FALSE)</f>
        <v>1</v>
      </c>
      <c r="I248" s="1" t="str">
        <f>VLOOKUP(H248,departments!A:B,2,FALSE)</f>
        <v>Engineering</v>
      </c>
      <c r="J248" s="1" t="str">
        <f>VLOOKUP(B248,candidate!A:E,5,FALSE)</f>
        <v>Job Board</v>
      </c>
    </row>
    <row r="249" spans="1:10" x14ac:dyDescent="0.25">
      <c r="A249" s="1">
        <v>132</v>
      </c>
      <c r="B249" s="1">
        <v>936</v>
      </c>
      <c r="C249" s="6">
        <v>45803</v>
      </c>
      <c r="D249" s="1">
        <v>5</v>
      </c>
      <c r="E249" s="1">
        <v>372000</v>
      </c>
      <c r="F249" s="1" t="s">
        <v>6</v>
      </c>
      <c r="G249" s="1">
        <f>VLOOKUP(B249,candidate!A:E,2,FALSE)</f>
        <v>23</v>
      </c>
      <c r="H249" s="1">
        <f>VLOOKUP(G249,job_openings!A:B,2,FALSE)</f>
        <v>3</v>
      </c>
      <c r="I249" s="1" t="str">
        <f>VLOOKUP(H249,departments!A:B,2,FALSE)</f>
        <v>Customer Support</v>
      </c>
      <c r="J249" s="1" t="str">
        <f>VLOOKUP(B249,candidate!A:E,5,FALSE)</f>
        <v>Referral</v>
      </c>
    </row>
    <row r="250" spans="1:10" x14ac:dyDescent="0.25">
      <c r="A250" s="1">
        <v>109</v>
      </c>
      <c r="B250" s="1">
        <v>790</v>
      </c>
      <c r="C250" s="6">
        <v>45805</v>
      </c>
      <c r="D250" s="1">
        <v>36</v>
      </c>
      <c r="E250" s="1">
        <v>342000</v>
      </c>
      <c r="F250" s="1" t="s">
        <v>7</v>
      </c>
      <c r="G250" s="1">
        <f>VLOOKUP(B250,candidate!A:E,2,FALSE)</f>
        <v>19</v>
      </c>
      <c r="H250" s="1">
        <f>VLOOKUP(G250,job_openings!A:B,2,FALSE)</f>
        <v>4</v>
      </c>
      <c r="I250" s="1" t="str">
        <f>VLOOKUP(H250,departments!A:B,2,FALSE)</f>
        <v>Operations</v>
      </c>
      <c r="J250" s="1" t="str">
        <f>VLOOKUP(B250,candidate!A:E,5,FALSE)</f>
        <v>Job Board</v>
      </c>
    </row>
    <row r="251" spans="1:10" x14ac:dyDescent="0.25">
      <c r="A251" s="1">
        <v>83</v>
      </c>
      <c r="B251" s="1">
        <v>595</v>
      </c>
      <c r="C251" s="6">
        <v>45747</v>
      </c>
      <c r="D251" s="1">
        <v>27</v>
      </c>
      <c r="E251" s="1">
        <v>454000</v>
      </c>
      <c r="F251" s="1" t="s">
        <v>6</v>
      </c>
      <c r="G251" s="1">
        <f>VLOOKUP(B251,candidate!A:E,2,FALSE)</f>
        <v>14</v>
      </c>
      <c r="H251" s="1">
        <f>VLOOKUP(G251,job_openings!A:B,2,FALSE)</f>
        <v>4</v>
      </c>
      <c r="I251" s="1" t="str">
        <f>VLOOKUP(H251,departments!A:B,2,FALSE)</f>
        <v>Operations</v>
      </c>
      <c r="J251" s="1" t="str">
        <f>VLOOKUP(B251,candidate!A:E,5,FALSE)</f>
        <v>Job Board</v>
      </c>
    </row>
    <row r="252" spans="1:10" x14ac:dyDescent="0.25">
      <c r="A252" s="1">
        <v>283</v>
      </c>
      <c r="B252" s="1">
        <v>2114</v>
      </c>
      <c r="C252" s="6">
        <v>46005</v>
      </c>
      <c r="D252" s="1">
        <v>8</v>
      </c>
      <c r="E252" s="1">
        <v>343000</v>
      </c>
      <c r="F252" s="1" t="s">
        <v>7</v>
      </c>
      <c r="G252" s="1">
        <f>VLOOKUP(B252,candidate!A:E,2,FALSE)</f>
        <v>58</v>
      </c>
      <c r="H252" s="1">
        <f>VLOOKUP(G252,job_openings!A:B,2,FALSE)</f>
        <v>3</v>
      </c>
      <c r="I252" s="1" t="str">
        <f>VLOOKUP(H252,departments!A:B,2,FALSE)</f>
        <v>Customer Support</v>
      </c>
      <c r="J252" s="1" t="str">
        <f>VLOOKUP(B252,candidate!A:E,5,FALSE)</f>
        <v>LinkedIn</v>
      </c>
    </row>
    <row r="253" spans="1:10" x14ac:dyDescent="0.25">
      <c r="A253" s="1">
        <v>80</v>
      </c>
      <c r="B253" s="1">
        <v>545</v>
      </c>
      <c r="C253" s="6">
        <v>45769</v>
      </c>
      <c r="D253" s="1">
        <v>25</v>
      </c>
      <c r="E253" s="1">
        <v>304000</v>
      </c>
      <c r="F253" s="1" t="s">
        <v>6</v>
      </c>
      <c r="G253" s="1">
        <f>VLOOKUP(B253,candidate!A:E,2,FALSE)</f>
        <v>13</v>
      </c>
      <c r="H253" s="1">
        <f>VLOOKUP(G253,job_openings!A:B,2,FALSE)</f>
        <v>3</v>
      </c>
      <c r="I253" s="1" t="str">
        <f>VLOOKUP(H253,departments!A:B,2,FALSE)</f>
        <v>Customer Support</v>
      </c>
      <c r="J253" s="1" t="str">
        <f>VLOOKUP(B253,candidate!A:E,5,FALSE)</f>
        <v>Referral</v>
      </c>
    </row>
    <row r="254" spans="1:10" x14ac:dyDescent="0.25">
      <c r="A254" s="1">
        <v>220</v>
      </c>
      <c r="B254" s="1">
        <v>1602</v>
      </c>
      <c r="C254" s="6">
        <v>45931</v>
      </c>
      <c r="D254" s="1">
        <v>22</v>
      </c>
      <c r="E254" s="1">
        <v>664000</v>
      </c>
      <c r="F254" s="1" t="s">
        <v>6</v>
      </c>
      <c r="G254" s="1">
        <f>VLOOKUP(B254,candidate!A:E,2,FALSE)</f>
        <v>42</v>
      </c>
      <c r="H254" s="1">
        <f>VLOOKUP(G254,job_openings!A:B,2,FALSE)</f>
        <v>2</v>
      </c>
      <c r="I254" s="1" t="str">
        <f>VLOOKUP(H254,departments!A:B,2,FALSE)</f>
        <v>Sales</v>
      </c>
      <c r="J254" s="1" t="str">
        <f>VLOOKUP(B254,candidate!A:E,5,FALSE)</f>
        <v>LinkedIn</v>
      </c>
    </row>
    <row r="255" spans="1:10" x14ac:dyDescent="0.25">
      <c r="A255" s="1">
        <v>156</v>
      </c>
      <c r="B255" s="1">
        <v>1078</v>
      </c>
      <c r="C255" s="6">
        <v>45859</v>
      </c>
      <c r="D255" s="1">
        <v>24</v>
      </c>
      <c r="E255" s="1">
        <v>492000</v>
      </c>
      <c r="F255" s="1" t="s">
        <v>6</v>
      </c>
      <c r="G255" s="1">
        <f>VLOOKUP(B255,candidate!A:E,2,FALSE)</f>
        <v>27</v>
      </c>
      <c r="H255" s="1">
        <f>VLOOKUP(G255,job_openings!A:B,2,FALSE)</f>
        <v>2</v>
      </c>
      <c r="I255" s="1" t="str">
        <f>VLOOKUP(H255,departments!A:B,2,FALSE)</f>
        <v>Sales</v>
      </c>
      <c r="J255" s="1" t="str">
        <f>VLOOKUP(B255,candidate!A:E,5,FALSE)</f>
        <v>Job Board</v>
      </c>
    </row>
    <row r="256" spans="1:10" x14ac:dyDescent="0.25">
      <c r="A256" s="1">
        <v>262</v>
      </c>
      <c r="B256" s="1">
        <v>1950</v>
      </c>
      <c r="C256" s="6">
        <v>46012</v>
      </c>
      <c r="D256" s="1">
        <v>47</v>
      </c>
      <c r="E256" s="1">
        <v>1153000</v>
      </c>
      <c r="F256" s="1" t="s">
        <v>6</v>
      </c>
      <c r="G256" s="1">
        <f>VLOOKUP(B256,candidate!A:E,2,FALSE)</f>
        <v>51</v>
      </c>
      <c r="H256" s="1">
        <f>VLOOKUP(G256,job_openings!A:B,2,FALSE)</f>
        <v>1</v>
      </c>
      <c r="I256" s="1" t="str">
        <f>VLOOKUP(H256,departments!A:B,2,FALSE)</f>
        <v>Engineering</v>
      </c>
      <c r="J256" s="1" t="str">
        <f>VLOOKUP(B256,candidate!A:E,5,FALSE)</f>
        <v>Referral</v>
      </c>
    </row>
    <row r="257" spans="1:10" x14ac:dyDescent="0.25">
      <c r="A257" s="1">
        <v>100</v>
      </c>
      <c r="B257" s="1">
        <v>710</v>
      </c>
      <c r="C257" s="6">
        <v>45791</v>
      </c>
      <c r="D257" s="1">
        <v>21</v>
      </c>
      <c r="E257" s="1">
        <v>385000</v>
      </c>
      <c r="F257" s="1" t="s">
        <v>6</v>
      </c>
      <c r="G257" s="1">
        <f>VLOOKUP(B257,candidate!A:E,2,FALSE)</f>
        <v>18</v>
      </c>
      <c r="H257" s="1">
        <f>VLOOKUP(G257,job_openings!A:B,2,FALSE)</f>
        <v>3</v>
      </c>
      <c r="I257" s="1" t="str">
        <f>VLOOKUP(H257,departments!A:B,2,FALSE)</f>
        <v>Customer Support</v>
      </c>
      <c r="J257" s="1" t="str">
        <f>VLOOKUP(B257,candidate!A:E,5,FALSE)</f>
        <v>LinkedIn</v>
      </c>
    </row>
    <row r="258" spans="1:10" x14ac:dyDescent="0.25">
      <c r="A258" s="1">
        <v>201</v>
      </c>
      <c r="B258" s="1">
        <v>1458</v>
      </c>
      <c r="C258" s="6">
        <v>45878</v>
      </c>
      <c r="D258" s="1">
        <v>5</v>
      </c>
      <c r="E258" s="1">
        <v>345000</v>
      </c>
      <c r="F258" s="1" t="s">
        <v>7</v>
      </c>
      <c r="G258" s="1">
        <f>VLOOKUP(B258,candidate!A:E,2,FALSE)</f>
        <v>38</v>
      </c>
      <c r="H258" s="1">
        <f>VLOOKUP(G258,job_openings!A:B,2,FALSE)</f>
        <v>3</v>
      </c>
      <c r="I258" s="1" t="str">
        <f>VLOOKUP(H258,departments!A:B,2,FALSE)</f>
        <v>Customer Support</v>
      </c>
      <c r="J258" s="1" t="str">
        <f>VLOOKUP(B258,candidate!A:E,5,FALSE)</f>
        <v>LinkedIn</v>
      </c>
    </row>
    <row r="259" spans="1:10" x14ac:dyDescent="0.25">
      <c r="A259" s="1">
        <v>49</v>
      </c>
      <c r="B259" s="1">
        <v>350</v>
      </c>
      <c r="C259" s="6">
        <v>45720</v>
      </c>
      <c r="D259" s="1">
        <v>7</v>
      </c>
      <c r="E259" s="1">
        <v>309000</v>
      </c>
      <c r="F259" s="1" t="s">
        <v>6</v>
      </c>
      <c r="G259" s="1">
        <f>VLOOKUP(B259,candidate!A:E,2,FALSE)</f>
        <v>8</v>
      </c>
      <c r="H259" s="1">
        <f>VLOOKUP(G259,job_openings!A:B,2,FALSE)</f>
        <v>3</v>
      </c>
      <c r="I259" s="1" t="str">
        <f>VLOOKUP(H259,departments!A:B,2,FALSE)</f>
        <v>Customer Support</v>
      </c>
      <c r="J259" s="1" t="str">
        <f>VLOOKUP(B259,candidate!A:E,5,FALSE)</f>
        <v>LinkedIn</v>
      </c>
    </row>
    <row r="260" spans="1:10" x14ac:dyDescent="0.25">
      <c r="A260" s="1">
        <v>78</v>
      </c>
      <c r="B260" s="1">
        <v>541</v>
      </c>
      <c r="C260" s="6">
        <v>45757</v>
      </c>
      <c r="D260" s="1">
        <v>27</v>
      </c>
      <c r="E260" s="1">
        <v>298000</v>
      </c>
      <c r="F260" s="1" t="s">
        <v>6</v>
      </c>
      <c r="G260" s="1">
        <f>VLOOKUP(B260,candidate!A:E,2,FALSE)</f>
        <v>13</v>
      </c>
      <c r="H260" s="1">
        <f>VLOOKUP(G260,job_openings!A:B,2,FALSE)</f>
        <v>3</v>
      </c>
      <c r="I260" s="1" t="str">
        <f>VLOOKUP(H260,departments!A:B,2,FALSE)</f>
        <v>Customer Support</v>
      </c>
      <c r="J260" s="1" t="str">
        <f>VLOOKUP(B260,candidate!A:E,5,FALSE)</f>
        <v>Referral</v>
      </c>
    </row>
    <row r="261" spans="1:10" x14ac:dyDescent="0.25">
      <c r="A261" s="1">
        <v>8</v>
      </c>
      <c r="B261" s="1">
        <v>33</v>
      </c>
      <c r="C261" s="6">
        <v>45704</v>
      </c>
      <c r="D261" s="1">
        <v>40</v>
      </c>
      <c r="E261" s="1">
        <v>933000</v>
      </c>
      <c r="F261" s="1" t="s">
        <v>6</v>
      </c>
      <c r="G261" s="1">
        <f>VLOOKUP(B261,candidate!A:E,2,FALSE)</f>
        <v>1</v>
      </c>
      <c r="H261" s="1">
        <f>VLOOKUP(G261,job_openings!A:B,2,FALSE)</f>
        <v>1</v>
      </c>
      <c r="I261" s="1" t="str">
        <f>VLOOKUP(H261,departments!A:B,2,FALSE)</f>
        <v>Engineering</v>
      </c>
      <c r="J261" s="1" t="str">
        <f>VLOOKUP(B261,candidate!A:E,5,FALSE)</f>
        <v>LinkedIn</v>
      </c>
    </row>
    <row r="262" spans="1:10" x14ac:dyDescent="0.25">
      <c r="A262" s="1">
        <v>286</v>
      </c>
      <c r="B262" s="1">
        <v>2131</v>
      </c>
      <c r="C262" s="6">
        <v>46041</v>
      </c>
      <c r="D262" s="1">
        <v>48</v>
      </c>
      <c r="E262" s="1">
        <v>482000</v>
      </c>
      <c r="F262" s="1" t="s">
        <v>6</v>
      </c>
      <c r="G262" s="1">
        <f>VLOOKUP(B262,candidate!A:E,2,FALSE)</f>
        <v>59</v>
      </c>
      <c r="H262" s="1">
        <f>VLOOKUP(G262,job_openings!A:B,2,FALSE)</f>
        <v>4</v>
      </c>
      <c r="I262" s="1" t="str">
        <f>VLOOKUP(H262,departments!A:B,2,FALSE)</f>
        <v>Operations</v>
      </c>
      <c r="J262" s="1" t="str">
        <f>VLOOKUP(B262,candidate!A:E,5,FALSE)</f>
        <v>LinkedIn</v>
      </c>
    </row>
    <row r="263" spans="1:10" x14ac:dyDescent="0.25">
      <c r="A263" s="1">
        <v>213</v>
      </c>
      <c r="B263" s="1">
        <v>1575</v>
      </c>
      <c r="C263" s="6">
        <v>45946</v>
      </c>
      <c r="D263" s="1">
        <v>40</v>
      </c>
      <c r="E263" s="1">
        <v>1083000</v>
      </c>
      <c r="F263" s="1" t="s">
        <v>7</v>
      </c>
      <c r="G263" s="1">
        <f>VLOOKUP(B263,candidate!A:E,2,FALSE)</f>
        <v>41</v>
      </c>
      <c r="H263" s="1">
        <f>VLOOKUP(G263,job_openings!A:B,2,FALSE)</f>
        <v>1</v>
      </c>
      <c r="I263" s="1" t="str">
        <f>VLOOKUP(H263,departments!A:B,2,FALSE)</f>
        <v>Engineering</v>
      </c>
      <c r="J263" s="1" t="str">
        <f>VLOOKUP(B263,candidate!A:E,5,FALSE)</f>
        <v>Job Board</v>
      </c>
    </row>
    <row r="264" spans="1:10" x14ac:dyDescent="0.25">
      <c r="A264" s="1">
        <v>259</v>
      </c>
      <c r="B264" s="1">
        <v>1869</v>
      </c>
      <c r="C264" s="6">
        <v>45970</v>
      </c>
      <c r="D264" s="1">
        <v>13</v>
      </c>
      <c r="E264" s="1">
        <v>362000</v>
      </c>
      <c r="F264" s="1" t="s">
        <v>7</v>
      </c>
      <c r="G264" s="1">
        <f>VLOOKUP(B264,candidate!A:E,2,FALSE)</f>
        <v>48</v>
      </c>
      <c r="H264" s="1">
        <f>VLOOKUP(G264,job_openings!A:B,2,FALSE)</f>
        <v>3</v>
      </c>
      <c r="I264" s="1" t="str">
        <f>VLOOKUP(H264,departments!A:B,2,FALSE)</f>
        <v>Customer Support</v>
      </c>
      <c r="J264" s="1" t="str">
        <f>VLOOKUP(B264,candidate!A:E,5,FALSE)</f>
        <v>Referral</v>
      </c>
    </row>
    <row r="265" spans="1:10" x14ac:dyDescent="0.25">
      <c r="A265" s="1">
        <v>38</v>
      </c>
      <c r="B265" s="1">
        <v>303</v>
      </c>
      <c r="C265" s="6">
        <v>45717</v>
      </c>
      <c r="D265" s="1">
        <v>8</v>
      </c>
      <c r="E265" s="1">
        <v>663000</v>
      </c>
      <c r="F265" s="1" t="s">
        <v>6</v>
      </c>
      <c r="G265" s="1">
        <f>VLOOKUP(B265,candidate!A:E,2,FALSE)</f>
        <v>7</v>
      </c>
      <c r="H265" s="1">
        <f>VLOOKUP(G265,job_openings!A:B,2,FALSE)</f>
        <v>2</v>
      </c>
      <c r="I265" s="1" t="str">
        <f>VLOOKUP(H265,departments!A:B,2,FALSE)</f>
        <v>Sales</v>
      </c>
      <c r="J265" s="1" t="str">
        <f>VLOOKUP(B265,candidate!A:E,5,FALSE)</f>
        <v>LinkedIn</v>
      </c>
    </row>
    <row r="266" spans="1:10" x14ac:dyDescent="0.25">
      <c r="A266" s="1">
        <v>40</v>
      </c>
      <c r="B266" s="1">
        <v>314</v>
      </c>
      <c r="C266" s="6">
        <v>45732</v>
      </c>
      <c r="D266" s="1">
        <v>25</v>
      </c>
      <c r="E266" s="1">
        <v>319000</v>
      </c>
      <c r="F266" s="1" t="s">
        <v>6</v>
      </c>
      <c r="G266" s="1">
        <f>VLOOKUP(B266,candidate!A:E,2,FALSE)</f>
        <v>8</v>
      </c>
      <c r="H266" s="1">
        <f>VLOOKUP(G266,job_openings!A:B,2,FALSE)</f>
        <v>3</v>
      </c>
      <c r="I266" s="1" t="str">
        <f>VLOOKUP(H266,departments!A:B,2,FALSE)</f>
        <v>Customer Support</v>
      </c>
      <c r="J266" s="1" t="str">
        <f>VLOOKUP(B266,candidate!A:E,5,FALSE)</f>
        <v>Referral</v>
      </c>
    </row>
    <row r="267" spans="1:10" x14ac:dyDescent="0.25">
      <c r="A267" s="1">
        <v>44</v>
      </c>
      <c r="B267" s="1">
        <v>334</v>
      </c>
      <c r="C267" s="6">
        <v>45712</v>
      </c>
      <c r="D267" s="1">
        <v>21</v>
      </c>
      <c r="E267" s="1">
        <v>292000</v>
      </c>
      <c r="F267" s="1" t="s">
        <v>6</v>
      </c>
      <c r="G267" s="1">
        <f>VLOOKUP(B267,candidate!A:E,2,FALSE)</f>
        <v>8</v>
      </c>
      <c r="H267" s="1">
        <f>VLOOKUP(G267,job_openings!A:B,2,FALSE)</f>
        <v>3</v>
      </c>
      <c r="I267" s="1" t="str">
        <f>VLOOKUP(H267,departments!A:B,2,FALSE)</f>
        <v>Customer Support</v>
      </c>
      <c r="J267" s="1" t="str">
        <f>VLOOKUP(B267,candidate!A:E,5,FALSE)</f>
        <v>LinkedIn</v>
      </c>
    </row>
    <row r="268" spans="1:10" x14ac:dyDescent="0.25">
      <c r="A268" s="1">
        <v>139</v>
      </c>
      <c r="B268" s="1">
        <v>972</v>
      </c>
      <c r="C268" s="6">
        <v>45844</v>
      </c>
      <c r="D268" s="1">
        <v>41</v>
      </c>
      <c r="E268" s="1">
        <v>372000</v>
      </c>
      <c r="F268" s="1" t="s">
        <v>6</v>
      </c>
      <c r="G268" s="1">
        <f>VLOOKUP(B268,candidate!A:E,2,FALSE)</f>
        <v>24</v>
      </c>
      <c r="H268" s="1">
        <f>VLOOKUP(G268,job_openings!A:B,2,FALSE)</f>
        <v>4</v>
      </c>
      <c r="I268" s="1" t="str">
        <f>VLOOKUP(H268,departments!A:B,2,FALSE)</f>
        <v>Operations</v>
      </c>
      <c r="J268" s="1" t="str">
        <f>VLOOKUP(B268,candidate!A:E,5,FALSE)</f>
        <v>LinkedIn</v>
      </c>
    </row>
    <row r="269" spans="1:10" x14ac:dyDescent="0.25">
      <c r="A269" s="1">
        <v>68</v>
      </c>
      <c r="B269" s="1">
        <v>502</v>
      </c>
      <c r="C269" s="6">
        <v>45755</v>
      </c>
      <c r="D269" s="1">
        <v>29</v>
      </c>
      <c r="E269" s="1">
        <v>642000</v>
      </c>
      <c r="F269" s="1" t="s">
        <v>6</v>
      </c>
      <c r="G269" s="1">
        <f>VLOOKUP(B269,candidate!A:E,2,FALSE)</f>
        <v>12</v>
      </c>
      <c r="H269" s="1">
        <f>VLOOKUP(G269,job_openings!A:B,2,FALSE)</f>
        <v>2</v>
      </c>
      <c r="I269" s="1" t="str">
        <f>VLOOKUP(H269,departments!A:B,2,FALSE)</f>
        <v>Sales</v>
      </c>
      <c r="J269" s="1" t="str">
        <f>VLOOKUP(B269,candidate!A:E,5,FALSE)</f>
        <v>Job Board</v>
      </c>
    </row>
    <row r="270" spans="1:10" x14ac:dyDescent="0.25">
      <c r="A270" s="1">
        <v>206</v>
      </c>
      <c r="B270" s="1">
        <v>1477</v>
      </c>
      <c r="C270" s="6">
        <v>45889</v>
      </c>
      <c r="D270" s="1">
        <v>16</v>
      </c>
      <c r="E270" s="1">
        <v>312000</v>
      </c>
      <c r="F270" s="1" t="s">
        <v>6</v>
      </c>
      <c r="G270" s="1">
        <f>VLOOKUP(B270,candidate!A:E,2,FALSE)</f>
        <v>38</v>
      </c>
      <c r="H270" s="1">
        <f>VLOOKUP(G270,job_openings!A:B,2,FALSE)</f>
        <v>3</v>
      </c>
      <c r="I270" s="1" t="str">
        <f>VLOOKUP(H270,departments!A:B,2,FALSE)</f>
        <v>Customer Support</v>
      </c>
      <c r="J270" s="1" t="str">
        <f>VLOOKUP(B270,candidate!A:E,5,FALSE)</f>
        <v>Referral</v>
      </c>
    </row>
    <row r="271" spans="1:10" x14ac:dyDescent="0.25">
      <c r="A271" s="1">
        <v>194</v>
      </c>
      <c r="B271" s="1">
        <v>1426</v>
      </c>
      <c r="C271" s="6">
        <v>45909</v>
      </c>
      <c r="D271" s="1">
        <v>18</v>
      </c>
      <c r="E271" s="1">
        <v>551000</v>
      </c>
      <c r="F271" s="1" t="s">
        <v>6</v>
      </c>
      <c r="G271" s="1">
        <f>VLOOKUP(B271,candidate!A:E,2,FALSE)</f>
        <v>37</v>
      </c>
      <c r="H271" s="1">
        <f>VLOOKUP(G271,job_openings!A:B,2,FALSE)</f>
        <v>2</v>
      </c>
      <c r="I271" s="1" t="str">
        <f>VLOOKUP(H271,departments!A:B,2,FALSE)</f>
        <v>Sales</v>
      </c>
      <c r="J271" s="1" t="str">
        <f>VLOOKUP(B271,candidate!A:E,5,FALSE)</f>
        <v>Walk-in</v>
      </c>
    </row>
    <row r="272" spans="1:10" x14ac:dyDescent="0.25">
      <c r="A272" s="1">
        <v>64</v>
      </c>
      <c r="B272" s="1">
        <v>465</v>
      </c>
      <c r="C272" s="6">
        <v>45790</v>
      </c>
      <c r="D272" s="1">
        <v>46</v>
      </c>
      <c r="E272" s="1">
        <v>550000</v>
      </c>
      <c r="F272" s="1" t="s">
        <v>6</v>
      </c>
      <c r="G272" s="1">
        <f>VLOOKUP(B272,candidate!A:E,2,FALSE)</f>
        <v>12</v>
      </c>
      <c r="H272" s="1">
        <f>VLOOKUP(G272,job_openings!A:B,2,FALSE)</f>
        <v>2</v>
      </c>
      <c r="I272" s="1" t="str">
        <f>VLOOKUP(H272,departments!A:B,2,FALSE)</f>
        <v>Sales</v>
      </c>
      <c r="J272" s="1" t="str">
        <f>VLOOKUP(B272,candidate!A:E,5,FALSE)</f>
        <v>Job Board</v>
      </c>
    </row>
    <row r="273" spans="1:10" x14ac:dyDescent="0.25">
      <c r="A273" s="1">
        <v>140</v>
      </c>
      <c r="B273" s="1">
        <v>986</v>
      </c>
      <c r="C273" s="6">
        <v>45795</v>
      </c>
      <c r="D273" s="1">
        <v>14</v>
      </c>
      <c r="E273" s="1">
        <v>542000</v>
      </c>
      <c r="F273" s="1" t="s">
        <v>6</v>
      </c>
      <c r="G273" s="1">
        <f>VLOOKUP(B273,candidate!A:E,2,FALSE)</f>
        <v>25</v>
      </c>
      <c r="H273" s="1">
        <f>VLOOKUP(G273,job_openings!A:B,2,FALSE)</f>
        <v>5</v>
      </c>
      <c r="I273" s="1" t="str">
        <f>VLOOKUP(H273,departments!A:B,2,FALSE)</f>
        <v>Marketing</v>
      </c>
      <c r="J273" s="1" t="str">
        <f>VLOOKUP(B273,candidate!A:E,5,FALSE)</f>
        <v>LinkedIn</v>
      </c>
    </row>
    <row r="274" spans="1:10" x14ac:dyDescent="0.25">
      <c r="A274" s="1">
        <v>18</v>
      </c>
      <c r="B274" s="1">
        <v>106</v>
      </c>
      <c r="C274" s="6">
        <v>45698</v>
      </c>
      <c r="D274" s="1">
        <v>16</v>
      </c>
      <c r="E274" s="1">
        <v>292000</v>
      </c>
      <c r="F274" s="1" t="s">
        <v>6</v>
      </c>
      <c r="G274" s="1">
        <f>VLOOKUP(B274,candidate!A:E,2,FALSE)</f>
        <v>3</v>
      </c>
      <c r="H274" s="1">
        <f>VLOOKUP(G274,job_openings!A:B,2,FALSE)</f>
        <v>3</v>
      </c>
      <c r="I274" s="1" t="str">
        <f>VLOOKUP(H274,departments!A:B,2,FALSE)</f>
        <v>Customer Support</v>
      </c>
      <c r="J274" s="1" t="str">
        <f>VLOOKUP(B274,candidate!A:E,5,FALSE)</f>
        <v>Referral</v>
      </c>
    </row>
    <row r="275" spans="1:10" x14ac:dyDescent="0.25">
      <c r="A275" s="1">
        <v>127</v>
      </c>
      <c r="B275" s="1">
        <v>910</v>
      </c>
      <c r="C275" s="6">
        <v>45815</v>
      </c>
      <c r="D275" s="1">
        <v>25</v>
      </c>
      <c r="E275" s="1">
        <v>378000</v>
      </c>
      <c r="F275" s="1" t="s">
        <v>6</v>
      </c>
      <c r="G275" s="1">
        <f>VLOOKUP(B275,candidate!A:E,2,FALSE)</f>
        <v>23</v>
      </c>
      <c r="H275" s="1">
        <f>VLOOKUP(G275,job_openings!A:B,2,FALSE)</f>
        <v>3</v>
      </c>
      <c r="I275" s="1" t="str">
        <f>VLOOKUP(H275,departments!A:B,2,FALSE)</f>
        <v>Customer Support</v>
      </c>
      <c r="J275" s="1" t="str">
        <f>VLOOKUP(B275,candidate!A:E,5,FALSE)</f>
        <v>Referral</v>
      </c>
    </row>
    <row r="276" spans="1:10" x14ac:dyDescent="0.25">
      <c r="A276" s="1">
        <v>118</v>
      </c>
      <c r="B276" s="1">
        <v>853</v>
      </c>
      <c r="C276" s="6">
        <v>45849</v>
      </c>
      <c r="D276" s="1">
        <v>51</v>
      </c>
      <c r="E276" s="1">
        <v>817000</v>
      </c>
      <c r="F276" s="1" t="s">
        <v>7</v>
      </c>
      <c r="G276" s="1">
        <f>VLOOKUP(B276,candidate!A:E,2,FALSE)</f>
        <v>21</v>
      </c>
      <c r="H276" s="1">
        <f>VLOOKUP(G276,job_openings!A:B,2,FALSE)</f>
        <v>1</v>
      </c>
      <c r="I276" s="1" t="str">
        <f>VLOOKUP(H276,departments!A:B,2,FALSE)</f>
        <v>Engineering</v>
      </c>
      <c r="J276" s="1" t="str">
        <f>VLOOKUP(B276,candidate!A:E,5,FALSE)</f>
        <v>Job Board</v>
      </c>
    </row>
    <row r="277" spans="1:10" x14ac:dyDescent="0.25">
      <c r="A277" s="1">
        <v>13</v>
      </c>
      <c r="B277" s="1">
        <v>71</v>
      </c>
      <c r="C277" s="6">
        <v>45704</v>
      </c>
      <c r="D277" s="1">
        <v>20</v>
      </c>
      <c r="E277" s="1">
        <v>515000</v>
      </c>
      <c r="F277" s="1" t="s">
        <v>6</v>
      </c>
      <c r="G277" s="1">
        <f>VLOOKUP(B277,candidate!A:E,2,FALSE)</f>
        <v>2</v>
      </c>
      <c r="H277" s="1">
        <f>VLOOKUP(G277,job_openings!A:B,2,FALSE)</f>
        <v>2</v>
      </c>
      <c r="I277" s="1" t="str">
        <f>VLOOKUP(H277,departments!A:B,2,FALSE)</f>
        <v>Sales</v>
      </c>
      <c r="J277" s="1" t="str">
        <f>VLOOKUP(B277,candidate!A:E,5,FALSE)</f>
        <v>Referral</v>
      </c>
    </row>
    <row r="278" spans="1:10" x14ac:dyDescent="0.25">
      <c r="A278" s="1">
        <v>155</v>
      </c>
      <c r="B278" s="1">
        <v>1074</v>
      </c>
      <c r="C278" s="6">
        <v>45856</v>
      </c>
      <c r="D278" s="1">
        <v>36</v>
      </c>
      <c r="E278" s="1">
        <v>685000</v>
      </c>
      <c r="F278" s="1" t="s">
        <v>6</v>
      </c>
      <c r="G278" s="1">
        <f>VLOOKUP(B278,candidate!A:E,2,FALSE)</f>
        <v>27</v>
      </c>
      <c r="H278" s="1">
        <f>VLOOKUP(G278,job_openings!A:B,2,FALSE)</f>
        <v>2</v>
      </c>
      <c r="I278" s="1" t="str">
        <f>VLOOKUP(H278,departments!A:B,2,FALSE)</f>
        <v>Sales</v>
      </c>
      <c r="J278" s="1" t="str">
        <f>VLOOKUP(B278,candidate!A:E,5,FALSE)</f>
        <v>LinkedIn</v>
      </c>
    </row>
    <row r="279" spans="1:10" x14ac:dyDescent="0.25">
      <c r="A279" s="1">
        <v>145</v>
      </c>
      <c r="B279" s="1">
        <v>1002</v>
      </c>
      <c r="C279" s="6">
        <v>45860</v>
      </c>
      <c r="D279" s="1">
        <v>36</v>
      </c>
      <c r="E279" s="1">
        <v>846000</v>
      </c>
      <c r="F279" s="1" t="s">
        <v>6</v>
      </c>
      <c r="G279" s="1">
        <f>VLOOKUP(B279,candidate!A:E,2,FALSE)</f>
        <v>26</v>
      </c>
      <c r="H279" s="1">
        <f>VLOOKUP(G279,job_openings!A:B,2,FALSE)</f>
        <v>1</v>
      </c>
      <c r="I279" s="1" t="str">
        <f>VLOOKUP(H279,departments!A:B,2,FALSE)</f>
        <v>Engineering</v>
      </c>
      <c r="J279" s="1" t="str">
        <f>VLOOKUP(B279,candidate!A:E,5,FALSE)</f>
        <v>Referral</v>
      </c>
    </row>
    <row r="280" spans="1:10" x14ac:dyDescent="0.25">
      <c r="A280" s="1">
        <v>81</v>
      </c>
      <c r="B280" s="1">
        <v>569</v>
      </c>
      <c r="C280" s="6">
        <v>45763</v>
      </c>
      <c r="D280" s="1">
        <v>26</v>
      </c>
      <c r="E280" s="1">
        <v>328000</v>
      </c>
      <c r="F280" s="1" t="s">
        <v>7</v>
      </c>
      <c r="G280" s="1">
        <f>VLOOKUP(B280,candidate!A:E,2,FALSE)</f>
        <v>13</v>
      </c>
      <c r="H280" s="1">
        <f>VLOOKUP(G280,job_openings!A:B,2,FALSE)</f>
        <v>3</v>
      </c>
      <c r="I280" s="1" t="str">
        <f>VLOOKUP(H280,departments!A:B,2,FALSE)</f>
        <v>Customer Support</v>
      </c>
      <c r="J280" s="1" t="str">
        <f>VLOOKUP(B280,candidate!A:E,5,FALSE)</f>
        <v>Walk-in</v>
      </c>
    </row>
    <row r="281" spans="1:10" x14ac:dyDescent="0.25">
      <c r="A281" s="1">
        <v>22</v>
      </c>
      <c r="B281" s="1">
        <v>148</v>
      </c>
      <c r="C281" s="6">
        <v>45687</v>
      </c>
      <c r="D281" s="1">
        <v>7</v>
      </c>
      <c r="E281" s="1">
        <v>358000</v>
      </c>
      <c r="F281" s="1" t="s">
        <v>6</v>
      </c>
      <c r="G281" s="1">
        <f>VLOOKUP(B281,candidate!A:E,2,FALSE)</f>
        <v>3</v>
      </c>
      <c r="H281" s="1">
        <f>VLOOKUP(G281,job_openings!A:B,2,FALSE)</f>
        <v>3</v>
      </c>
      <c r="I281" s="1" t="str">
        <f>VLOOKUP(H281,departments!A:B,2,FALSE)</f>
        <v>Customer Support</v>
      </c>
      <c r="J281" s="1" t="str">
        <f>VLOOKUP(B281,candidate!A:E,5,FALSE)</f>
        <v>LinkedIn</v>
      </c>
    </row>
    <row r="282" spans="1:10" x14ac:dyDescent="0.25">
      <c r="A282" s="1">
        <v>249</v>
      </c>
      <c r="B282" s="1">
        <v>1833</v>
      </c>
      <c r="C282" s="6">
        <v>45957</v>
      </c>
      <c r="D282" s="1">
        <v>20</v>
      </c>
      <c r="E282" s="1">
        <v>482000</v>
      </c>
      <c r="F282" s="1" t="s">
        <v>6</v>
      </c>
      <c r="G282" s="1">
        <f>VLOOKUP(B282,candidate!A:E,2,FALSE)</f>
        <v>47</v>
      </c>
      <c r="H282" s="1">
        <f>VLOOKUP(G282,job_openings!A:B,2,FALSE)</f>
        <v>2</v>
      </c>
      <c r="I282" s="1" t="str">
        <f>VLOOKUP(H282,departments!A:B,2,FALSE)</f>
        <v>Sales</v>
      </c>
      <c r="J282" s="1" t="str">
        <f>VLOOKUP(B282,candidate!A:E,5,FALSE)</f>
        <v>LinkedIn</v>
      </c>
    </row>
    <row r="283" spans="1:10" x14ac:dyDescent="0.25">
      <c r="A283" s="1">
        <v>204</v>
      </c>
      <c r="B283" s="1">
        <v>1464</v>
      </c>
      <c r="C283" s="6">
        <v>45910</v>
      </c>
      <c r="D283" s="1">
        <v>21</v>
      </c>
      <c r="E283" s="1">
        <v>284000</v>
      </c>
      <c r="F283" s="1" t="s">
        <v>6</v>
      </c>
      <c r="G283" s="1">
        <f>VLOOKUP(B283,candidate!A:E,2,FALSE)</f>
        <v>38</v>
      </c>
      <c r="H283" s="1">
        <f>VLOOKUP(G283,job_openings!A:B,2,FALSE)</f>
        <v>3</v>
      </c>
      <c r="I283" s="1" t="str">
        <f>VLOOKUP(H283,departments!A:B,2,FALSE)</f>
        <v>Customer Support</v>
      </c>
      <c r="J283" s="1" t="str">
        <f>VLOOKUP(B283,candidate!A:E,5,FALSE)</f>
        <v>Job Board</v>
      </c>
    </row>
    <row r="284" spans="1:10" x14ac:dyDescent="0.25">
      <c r="A284" s="1">
        <v>257</v>
      </c>
      <c r="B284" s="1">
        <v>1859</v>
      </c>
      <c r="C284" s="6">
        <v>45942</v>
      </c>
      <c r="D284" s="1">
        <v>5</v>
      </c>
      <c r="E284" s="1">
        <v>335000</v>
      </c>
      <c r="F284" s="1" t="s">
        <v>6</v>
      </c>
      <c r="G284" s="1">
        <f>VLOOKUP(B284,candidate!A:E,2,FALSE)</f>
        <v>48</v>
      </c>
      <c r="H284" s="1">
        <f>VLOOKUP(G284,job_openings!A:B,2,FALSE)</f>
        <v>3</v>
      </c>
      <c r="I284" s="1" t="str">
        <f>VLOOKUP(H284,departments!A:B,2,FALSE)</f>
        <v>Customer Support</v>
      </c>
      <c r="J284" s="1" t="str">
        <f>VLOOKUP(B284,candidate!A:E,5,FALSE)</f>
        <v>Referral</v>
      </c>
    </row>
    <row r="285" spans="1:10" x14ac:dyDescent="0.25">
      <c r="A285" s="1">
        <v>53</v>
      </c>
      <c r="B285" s="1">
        <v>398</v>
      </c>
      <c r="C285" s="6">
        <v>45700</v>
      </c>
      <c r="D285" s="1">
        <v>9</v>
      </c>
      <c r="E285" s="1">
        <v>341000</v>
      </c>
      <c r="F285" s="1" t="s">
        <v>6</v>
      </c>
      <c r="G285" s="1">
        <f>VLOOKUP(B285,candidate!A:E,2,FALSE)</f>
        <v>9</v>
      </c>
      <c r="H285" s="1">
        <f>VLOOKUP(G285,job_openings!A:B,2,FALSE)</f>
        <v>4</v>
      </c>
      <c r="I285" s="1" t="str">
        <f>VLOOKUP(H285,departments!A:B,2,FALSE)</f>
        <v>Operations</v>
      </c>
      <c r="J285" s="1" t="str">
        <f>VLOOKUP(B285,candidate!A:E,5,FALSE)</f>
        <v>LinkedIn</v>
      </c>
    </row>
    <row r="286" spans="1:10" x14ac:dyDescent="0.25">
      <c r="A286" s="1">
        <v>270</v>
      </c>
      <c r="B286" s="1">
        <v>2008</v>
      </c>
      <c r="C286" s="6">
        <v>45994</v>
      </c>
      <c r="D286" s="1">
        <v>20</v>
      </c>
      <c r="E286" s="1">
        <v>283000</v>
      </c>
      <c r="F286" s="1" t="s">
        <v>6</v>
      </c>
      <c r="G286" s="1">
        <f>VLOOKUP(B286,candidate!A:E,2,FALSE)</f>
        <v>53</v>
      </c>
      <c r="H286" s="1">
        <f>VLOOKUP(G286,job_openings!A:B,2,FALSE)</f>
        <v>3</v>
      </c>
      <c r="I286" s="1" t="str">
        <f>VLOOKUP(H286,departments!A:B,2,FALSE)</f>
        <v>Customer Support</v>
      </c>
      <c r="J286" s="1" t="str">
        <f>VLOOKUP(B286,candidate!A:E,5,FALSE)</f>
        <v>LinkedIn</v>
      </c>
    </row>
    <row r="287" spans="1:10" x14ac:dyDescent="0.25">
      <c r="A287" s="1">
        <v>11</v>
      </c>
      <c r="B287" s="1">
        <v>56</v>
      </c>
      <c r="C287" s="6">
        <v>45683</v>
      </c>
      <c r="D287" s="1">
        <v>18</v>
      </c>
      <c r="E287" s="1">
        <v>570000</v>
      </c>
      <c r="F287" s="1" t="s">
        <v>6</v>
      </c>
      <c r="G287" s="1">
        <f>VLOOKUP(B287,candidate!A:E,2,FALSE)</f>
        <v>2</v>
      </c>
      <c r="H287" s="1">
        <f>VLOOKUP(G287,job_openings!A:B,2,FALSE)</f>
        <v>2</v>
      </c>
      <c r="I287" s="1" t="str">
        <f>VLOOKUP(H287,departments!A:B,2,FALSE)</f>
        <v>Sales</v>
      </c>
      <c r="J287" s="1" t="str">
        <f>VLOOKUP(B287,candidate!A:E,5,FALSE)</f>
        <v>LinkedIn</v>
      </c>
    </row>
  </sheetData>
  <pageMargins left="0.7" right="0.7" top="0.75" bottom="0.75" header="0.3" footer="0.3"/>
  <pageSetup orientation="portrait" r:id="rId1"/>
  <ignoredErrors>
    <ignoredError sqref="O1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D12"/>
  <sheetViews>
    <sheetView workbookViewId="0">
      <selection activeCell="Q4" sqref="Q4"/>
    </sheetView>
  </sheetViews>
  <sheetFormatPr defaultRowHeight="15" x14ac:dyDescent="0.25"/>
  <cols>
    <col min="1" max="1" width="9.5703125" bestFit="1" customWidth="1"/>
    <col min="2" max="2" width="12.42578125" bestFit="1" customWidth="1"/>
    <col min="3" max="3" width="9.42578125" bestFit="1" customWidth="1"/>
    <col min="4" max="4" width="20" bestFit="1" customWidth="1"/>
  </cols>
  <sheetData>
    <row r="8" spans="1:4" x14ac:dyDescent="0.25">
      <c r="A8" s="3" t="s">
        <v>11</v>
      </c>
      <c r="B8" s="3" t="s">
        <v>115</v>
      </c>
      <c r="C8" s="3" t="s">
        <v>116</v>
      </c>
      <c r="D8" s="3" t="s">
        <v>117</v>
      </c>
    </row>
    <row r="9" spans="1:4" x14ac:dyDescent="0.25">
      <c r="A9" s="1" t="s">
        <v>13</v>
      </c>
      <c r="B9" s="2">
        <v>86</v>
      </c>
      <c r="C9" s="2">
        <v>82</v>
      </c>
      <c r="D9" s="2">
        <v>95.3</v>
      </c>
    </row>
    <row r="10" spans="1:4" x14ac:dyDescent="0.25">
      <c r="A10" s="1" t="s">
        <v>118</v>
      </c>
      <c r="B10" s="2">
        <v>95</v>
      </c>
      <c r="C10" s="2">
        <v>78</v>
      </c>
      <c r="D10" s="2">
        <v>82.1</v>
      </c>
    </row>
    <row r="11" spans="1:4" x14ac:dyDescent="0.25">
      <c r="A11" s="1" t="s">
        <v>18</v>
      </c>
      <c r="B11" s="2">
        <v>83</v>
      </c>
      <c r="C11" s="2">
        <v>55</v>
      </c>
      <c r="D11" s="2">
        <v>66.3</v>
      </c>
    </row>
    <row r="12" spans="1:4" x14ac:dyDescent="0.25">
      <c r="A12" s="1" t="s">
        <v>14</v>
      </c>
      <c r="B12" s="2">
        <v>22</v>
      </c>
      <c r="C12" s="2">
        <v>14</v>
      </c>
      <c r="D12" s="2">
        <v>63.6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37"/>
  <sheetViews>
    <sheetView workbookViewId="0">
      <selection activeCell="C1" sqref="C1:C1048576"/>
    </sheetView>
  </sheetViews>
  <sheetFormatPr defaultRowHeight="15" x14ac:dyDescent="0.25"/>
  <cols>
    <col min="1" max="1" width="12.42578125" bestFit="1" customWidth="1"/>
    <col min="2" max="2" width="11" bestFit="1" customWidth="1"/>
    <col min="3" max="3" width="16" style="9" bestFit="1" customWidth="1"/>
    <col min="4" max="4" width="11.85546875" bestFit="1" customWidth="1"/>
    <col min="5" max="5" width="9.5703125" bestFit="1" customWidth="1"/>
  </cols>
  <sheetData>
    <row r="1" spans="1:5" x14ac:dyDescent="0.25">
      <c r="A1" s="4" t="s">
        <v>1</v>
      </c>
      <c r="B1" s="4" t="s">
        <v>8</v>
      </c>
      <c r="C1" s="7" t="s">
        <v>9</v>
      </c>
      <c r="D1" s="4" t="s">
        <v>10</v>
      </c>
      <c r="E1" s="4" t="s">
        <v>11</v>
      </c>
    </row>
    <row r="2" spans="1:5" x14ac:dyDescent="0.25">
      <c r="A2" s="2">
        <v>354</v>
      </c>
      <c r="B2" s="2">
        <v>8</v>
      </c>
      <c r="C2" s="8">
        <v>45690</v>
      </c>
      <c r="D2" s="2" t="s">
        <v>12</v>
      </c>
      <c r="E2" s="2" t="s">
        <v>13</v>
      </c>
    </row>
    <row r="3" spans="1:5" x14ac:dyDescent="0.25">
      <c r="A3" s="2">
        <v>273</v>
      </c>
      <c r="B3" s="2">
        <v>7</v>
      </c>
      <c r="C3" s="8">
        <v>45698</v>
      </c>
      <c r="D3" s="2" t="s">
        <v>12</v>
      </c>
      <c r="E3" s="2" t="s">
        <v>14</v>
      </c>
    </row>
    <row r="4" spans="1:5" x14ac:dyDescent="0.25">
      <c r="A4" s="2">
        <v>202</v>
      </c>
      <c r="B4" s="2">
        <v>4</v>
      </c>
      <c r="C4" s="8">
        <v>45680</v>
      </c>
      <c r="D4" s="2" t="s">
        <v>15</v>
      </c>
      <c r="E4" s="2" t="s">
        <v>16</v>
      </c>
    </row>
    <row r="5" spans="1:5" x14ac:dyDescent="0.25">
      <c r="A5" s="2">
        <v>1378</v>
      </c>
      <c r="B5" s="2">
        <v>35</v>
      </c>
      <c r="C5" s="8">
        <v>45850</v>
      </c>
      <c r="D5" s="2" t="s">
        <v>12</v>
      </c>
      <c r="E5" s="2" t="s">
        <v>16</v>
      </c>
    </row>
    <row r="6" spans="1:5" x14ac:dyDescent="0.25">
      <c r="A6" s="2">
        <v>615</v>
      </c>
      <c r="B6" s="2">
        <v>14</v>
      </c>
      <c r="C6" s="8">
        <v>45735</v>
      </c>
      <c r="D6" s="2" t="s">
        <v>17</v>
      </c>
      <c r="E6" s="2" t="s">
        <v>13</v>
      </c>
    </row>
    <row r="7" spans="1:5" x14ac:dyDescent="0.25">
      <c r="A7" s="2">
        <v>1367</v>
      </c>
      <c r="B7" s="2">
        <v>34</v>
      </c>
      <c r="C7" s="8">
        <v>45854</v>
      </c>
      <c r="D7" s="2" t="s">
        <v>15</v>
      </c>
      <c r="E7" s="2" t="s">
        <v>18</v>
      </c>
    </row>
    <row r="8" spans="1:5" x14ac:dyDescent="0.25">
      <c r="A8" s="2">
        <v>558</v>
      </c>
      <c r="B8" s="2">
        <v>13</v>
      </c>
      <c r="C8" s="8">
        <v>45730</v>
      </c>
      <c r="D8" s="2" t="s">
        <v>12</v>
      </c>
      <c r="E8" s="2" t="s">
        <v>13</v>
      </c>
    </row>
    <row r="9" spans="1:5" x14ac:dyDescent="0.25">
      <c r="A9" s="2">
        <v>413</v>
      </c>
      <c r="B9" s="2">
        <v>10</v>
      </c>
      <c r="C9" s="8">
        <v>45714</v>
      </c>
      <c r="D9" s="2" t="s">
        <v>19</v>
      </c>
      <c r="E9" s="2" t="s">
        <v>13</v>
      </c>
    </row>
    <row r="10" spans="1:5" x14ac:dyDescent="0.25">
      <c r="A10" s="2">
        <v>1627</v>
      </c>
      <c r="B10" s="2">
        <v>42</v>
      </c>
      <c r="C10" s="8">
        <v>45921</v>
      </c>
      <c r="D10" s="2" t="s">
        <v>20</v>
      </c>
      <c r="E10" s="2" t="s">
        <v>16</v>
      </c>
    </row>
    <row r="11" spans="1:5" x14ac:dyDescent="0.25">
      <c r="A11" s="2">
        <v>2031</v>
      </c>
      <c r="B11" s="2">
        <v>53</v>
      </c>
      <c r="C11" s="8">
        <v>45965</v>
      </c>
      <c r="D11" s="2" t="s">
        <v>20</v>
      </c>
      <c r="E11" s="2" t="s">
        <v>16</v>
      </c>
    </row>
    <row r="12" spans="1:5" x14ac:dyDescent="0.25">
      <c r="A12" s="2">
        <v>913</v>
      </c>
      <c r="B12" s="2">
        <v>23</v>
      </c>
      <c r="C12" s="8">
        <v>45797</v>
      </c>
      <c r="D12" s="2" t="s">
        <v>19</v>
      </c>
      <c r="E12" s="2" t="s">
        <v>16</v>
      </c>
    </row>
    <row r="13" spans="1:5" x14ac:dyDescent="0.25">
      <c r="A13" s="2">
        <v>856</v>
      </c>
      <c r="B13" s="2">
        <v>21</v>
      </c>
      <c r="C13" s="8" t="s">
        <v>21</v>
      </c>
      <c r="D13" s="2" t="s">
        <v>20</v>
      </c>
      <c r="E13" s="2" t="s">
        <v>18</v>
      </c>
    </row>
    <row r="14" spans="1:5" x14ac:dyDescent="0.25">
      <c r="A14" s="2">
        <v>1452</v>
      </c>
      <c r="B14" s="2">
        <v>38</v>
      </c>
      <c r="C14" s="8" t="s">
        <v>22</v>
      </c>
      <c r="D14" s="2" t="s">
        <v>20</v>
      </c>
      <c r="E14" s="2" t="s">
        <v>14</v>
      </c>
    </row>
    <row r="15" spans="1:5" x14ac:dyDescent="0.25">
      <c r="A15" s="2">
        <v>187</v>
      </c>
      <c r="B15" s="2">
        <v>4</v>
      </c>
      <c r="C15" s="8">
        <v>45665</v>
      </c>
      <c r="D15" s="2" t="s">
        <v>19</v>
      </c>
      <c r="E15" s="2" t="s">
        <v>18</v>
      </c>
    </row>
    <row r="16" spans="1:5" x14ac:dyDescent="0.25">
      <c r="A16" s="2">
        <v>2038</v>
      </c>
      <c r="B16" s="2">
        <v>53</v>
      </c>
      <c r="C16" s="8">
        <v>45986</v>
      </c>
      <c r="D16" s="2" t="s">
        <v>12</v>
      </c>
      <c r="E16" s="2" t="s">
        <v>16</v>
      </c>
    </row>
    <row r="17" spans="1:5" x14ac:dyDescent="0.25">
      <c r="A17" s="2">
        <v>1794</v>
      </c>
      <c r="B17" s="2">
        <v>46</v>
      </c>
      <c r="C17" s="8">
        <v>45933</v>
      </c>
      <c r="D17" s="2" t="s">
        <v>12</v>
      </c>
      <c r="E17" s="2" t="s">
        <v>13</v>
      </c>
    </row>
    <row r="18" spans="1:5" x14ac:dyDescent="0.25">
      <c r="A18" s="2">
        <v>2106</v>
      </c>
      <c r="B18" s="2">
        <v>58</v>
      </c>
      <c r="C18" s="8">
        <v>46005</v>
      </c>
      <c r="D18" s="2" t="s">
        <v>12</v>
      </c>
      <c r="E18" s="2" t="s">
        <v>13</v>
      </c>
    </row>
    <row r="19" spans="1:5" x14ac:dyDescent="0.25">
      <c r="A19" s="2">
        <v>1729</v>
      </c>
      <c r="B19" s="2">
        <v>44</v>
      </c>
      <c r="C19" s="8">
        <v>45905</v>
      </c>
      <c r="D19" s="2" t="s">
        <v>20</v>
      </c>
      <c r="E19" s="2" t="s">
        <v>18</v>
      </c>
    </row>
    <row r="20" spans="1:5" x14ac:dyDescent="0.25">
      <c r="A20" s="2">
        <v>454</v>
      </c>
      <c r="B20" s="2">
        <v>11</v>
      </c>
      <c r="C20" s="8">
        <v>45734</v>
      </c>
      <c r="D20" s="2" t="s">
        <v>15</v>
      </c>
      <c r="E20" s="2" t="s">
        <v>14</v>
      </c>
    </row>
    <row r="21" spans="1:5" x14ac:dyDescent="0.25">
      <c r="A21" s="2">
        <v>1457</v>
      </c>
      <c r="B21" s="2">
        <v>38</v>
      </c>
      <c r="C21" s="8">
        <v>45888</v>
      </c>
      <c r="D21" s="2" t="s">
        <v>12</v>
      </c>
      <c r="E21" s="2" t="s">
        <v>13</v>
      </c>
    </row>
    <row r="22" spans="1:5" x14ac:dyDescent="0.25">
      <c r="A22" s="2">
        <v>1190</v>
      </c>
      <c r="B22" s="2">
        <v>30</v>
      </c>
      <c r="C22" s="8">
        <v>45831</v>
      </c>
      <c r="D22" s="2" t="s">
        <v>12</v>
      </c>
      <c r="E22" s="2" t="s">
        <v>18</v>
      </c>
    </row>
    <row r="23" spans="1:5" x14ac:dyDescent="0.25">
      <c r="A23" s="2">
        <v>728</v>
      </c>
      <c r="B23" s="2">
        <v>18</v>
      </c>
      <c r="C23" s="8" t="s">
        <v>23</v>
      </c>
      <c r="D23" s="2" t="s">
        <v>19</v>
      </c>
      <c r="E23" s="2" t="s">
        <v>16</v>
      </c>
    </row>
    <row r="24" spans="1:5" x14ac:dyDescent="0.25">
      <c r="A24" s="2">
        <v>2040</v>
      </c>
      <c r="B24" s="2">
        <v>53</v>
      </c>
      <c r="C24" s="8">
        <v>45966</v>
      </c>
      <c r="D24" s="2" t="s">
        <v>12</v>
      </c>
      <c r="E24" s="2" t="s">
        <v>18</v>
      </c>
    </row>
    <row r="25" spans="1:5" x14ac:dyDescent="0.25">
      <c r="A25" s="2">
        <v>1476</v>
      </c>
      <c r="B25" s="2">
        <v>38</v>
      </c>
      <c r="C25" s="8">
        <v>45875</v>
      </c>
      <c r="D25" s="2" t="s">
        <v>12</v>
      </c>
      <c r="E25" s="2" t="s">
        <v>16</v>
      </c>
    </row>
    <row r="26" spans="1:5" x14ac:dyDescent="0.25">
      <c r="A26" s="2">
        <v>307</v>
      </c>
      <c r="B26" s="2">
        <v>7</v>
      </c>
      <c r="C26" s="8">
        <v>45703</v>
      </c>
      <c r="D26" s="2" t="s">
        <v>20</v>
      </c>
      <c r="E26" s="2" t="s">
        <v>18</v>
      </c>
    </row>
    <row r="27" spans="1:5" x14ac:dyDescent="0.25">
      <c r="A27" s="2">
        <v>1712</v>
      </c>
      <c r="B27" s="2">
        <v>44</v>
      </c>
      <c r="C27" s="8">
        <v>45914</v>
      </c>
      <c r="D27" s="2" t="s">
        <v>20</v>
      </c>
      <c r="E27" s="2" t="s">
        <v>16</v>
      </c>
    </row>
    <row r="28" spans="1:5" x14ac:dyDescent="0.25">
      <c r="A28" s="2">
        <v>1617</v>
      </c>
      <c r="B28" s="2">
        <v>42</v>
      </c>
      <c r="C28" s="8">
        <v>45901</v>
      </c>
      <c r="D28" s="2" t="s">
        <v>12</v>
      </c>
      <c r="E28" s="2" t="s">
        <v>16</v>
      </c>
    </row>
    <row r="29" spans="1:5" x14ac:dyDescent="0.25">
      <c r="A29" s="2">
        <v>676</v>
      </c>
      <c r="B29" s="2">
        <v>17</v>
      </c>
      <c r="C29" s="8">
        <v>45767</v>
      </c>
      <c r="D29" s="2" t="s">
        <v>15</v>
      </c>
      <c r="E29" s="2" t="s">
        <v>14</v>
      </c>
    </row>
    <row r="30" spans="1:5" x14ac:dyDescent="0.25">
      <c r="A30" s="2">
        <v>1380</v>
      </c>
      <c r="B30" s="2">
        <v>35</v>
      </c>
      <c r="C30" s="8">
        <v>45853</v>
      </c>
      <c r="D30" s="2" t="s">
        <v>19</v>
      </c>
      <c r="E30" s="2" t="s">
        <v>18</v>
      </c>
    </row>
    <row r="31" spans="1:5" x14ac:dyDescent="0.25">
      <c r="A31" s="2">
        <v>1236</v>
      </c>
      <c r="B31" s="2">
        <v>32</v>
      </c>
      <c r="C31" s="8">
        <v>45860</v>
      </c>
      <c r="D31" s="2" t="s">
        <v>12</v>
      </c>
      <c r="E31" s="2" t="s">
        <v>14</v>
      </c>
    </row>
    <row r="32" spans="1:5" x14ac:dyDescent="0.25">
      <c r="A32" s="2">
        <v>1198</v>
      </c>
      <c r="B32" s="2">
        <v>31</v>
      </c>
      <c r="C32" s="8">
        <v>45848</v>
      </c>
      <c r="D32" s="2" t="s">
        <v>12</v>
      </c>
      <c r="E32" s="2" t="s">
        <v>18</v>
      </c>
    </row>
    <row r="33" spans="1:5" x14ac:dyDescent="0.25">
      <c r="A33" s="2">
        <v>1065</v>
      </c>
      <c r="B33" s="2">
        <v>27</v>
      </c>
      <c r="C33" s="8">
        <v>45823</v>
      </c>
      <c r="D33" s="2" t="s">
        <v>12</v>
      </c>
      <c r="E33" s="2" t="s">
        <v>18</v>
      </c>
    </row>
    <row r="34" spans="1:5" x14ac:dyDescent="0.25">
      <c r="A34" s="2">
        <v>1358</v>
      </c>
      <c r="B34" s="2">
        <v>34</v>
      </c>
      <c r="C34" s="8">
        <v>45857</v>
      </c>
      <c r="D34" s="2" t="s">
        <v>12</v>
      </c>
      <c r="E34" s="2" t="s">
        <v>18</v>
      </c>
    </row>
    <row r="35" spans="1:5" x14ac:dyDescent="0.25">
      <c r="A35" s="2">
        <v>571</v>
      </c>
      <c r="B35" s="2">
        <v>13</v>
      </c>
      <c r="C35" s="8">
        <v>45723</v>
      </c>
      <c r="D35" s="2" t="s">
        <v>19</v>
      </c>
      <c r="E35" s="2" t="s">
        <v>13</v>
      </c>
    </row>
    <row r="36" spans="1:5" x14ac:dyDescent="0.25">
      <c r="A36" s="2">
        <v>344</v>
      </c>
      <c r="B36" s="2">
        <v>8</v>
      </c>
      <c r="C36" s="8">
        <v>45715</v>
      </c>
      <c r="D36" s="2" t="s">
        <v>12</v>
      </c>
      <c r="E36" s="2" t="s">
        <v>16</v>
      </c>
    </row>
    <row r="37" spans="1:5" x14ac:dyDescent="0.25">
      <c r="A37" s="2">
        <v>1042</v>
      </c>
      <c r="B37" s="2">
        <v>27</v>
      </c>
      <c r="C37" s="8">
        <v>45832</v>
      </c>
      <c r="D37" s="2" t="s">
        <v>12</v>
      </c>
      <c r="E37" s="2" t="s">
        <v>16</v>
      </c>
    </row>
    <row r="38" spans="1:5" x14ac:dyDescent="0.25">
      <c r="A38" s="2">
        <v>324</v>
      </c>
      <c r="B38" s="2">
        <v>8</v>
      </c>
      <c r="C38" s="8">
        <v>45700</v>
      </c>
      <c r="D38" s="2" t="s">
        <v>20</v>
      </c>
      <c r="E38" s="2" t="s">
        <v>16</v>
      </c>
    </row>
    <row r="39" spans="1:5" x14ac:dyDescent="0.25">
      <c r="A39" s="2">
        <v>1657</v>
      </c>
      <c r="B39" s="2">
        <v>43</v>
      </c>
      <c r="C39" s="8">
        <v>45910</v>
      </c>
      <c r="D39" s="2" t="s">
        <v>19</v>
      </c>
      <c r="E39" s="2" t="s">
        <v>16</v>
      </c>
    </row>
    <row r="40" spans="1:5" x14ac:dyDescent="0.25">
      <c r="A40" s="2">
        <v>1514</v>
      </c>
      <c r="B40" s="2">
        <v>38</v>
      </c>
      <c r="C40" s="8">
        <v>45895</v>
      </c>
      <c r="D40" s="2" t="s">
        <v>17</v>
      </c>
      <c r="E40" s="2" t="s">
        <v>16</v>
      </c>
    </row>
    <row r="41" spans="1:5" x14ac:dyDescent="0.25">
      <c r="A41" s="2">
        <v>1193</v>
      </c>
      <c r="B41" s="2">
        <v>30</v>
      </c>
      <c r="C41" s="8">
        <v>45830</v>
      </c>
      <c r="D41" s="2" t="s">
        <v>12</v>
      </c>
      <c r="E41" s="2" t="s">
        <v>18</v>
      </c>
    </row>
    <row r="42" spans="1:5" x14ac:dyDescent="0.25">
      <c r="A42" s="2">
        <v>812</v>
      </c>
      <c r="B42" s="2">
        <v>20</v>
      </c>
      <c r="C42" s="8">
        <v>45764</v>
      </c>
      <c r="D42" s="2" t="s">
        <v>20</v>
      </c>
      <c r="E42" s="2" t="s">
        <v>18</v>
      </c>
    </row>
    <row r="43" spans="1:5" x14ac:dyDescent="0.25">
      <c r="A43" s="2">
        <v>289</v>
      </c>
      <c r="B43" s="2">
        <v>7</v>
      </c>
      <c r="C43" s="8">
        <v>45689</v>
      </c>
      <c r="D43" s="2" t="s">
        <v>12</v>
      </c>
      <c r="E43" s="2" t="s">
        <v>18</v>
      </c>
    </row>
    <row r="44" spans="1:5" x14ac:dyDescent="0.25">
      <c r="A44" s="2">
        <v>807</v>
      </c>
      <c r="B44" s="2">
        <v>20</v>
      </c>
      <c r="C44" s="8">
        <v>45762</v>
      </c>
      <c r="D44" s="2" t="s">
        <v>15</v>
      </c>
      <c r="E44" s="2" t="s">
        <v>18</v>
      </c>
    </row>
    <row r="45" spans="1:5" x14ac:dyDescent="0.25">
      <c r="A45" s="2">
        <v>1760</v>
      </c>
      <c r="B45" s="2">
        <v>45</v>
      </c>
      <c r="C45" s="8">
        <v>45916</v>
      </c>
      <c r="D45" s="2" t="s">
        <v>19</v>
      </c>
      <c r="E45" s="2" t="s">
        <v>13</v>
      </c>
    </row>
    <row r="46" spans="1:5" x14ac:dyDescent="0.25">
      <c r="A46" s="2">
        <v>1537</v>
      </c>
      <c r="B46" s="2">
        <v>39</v>
      </c>
      <c r="C46" s="8">
        <v>45883</v>
      </c>
      <c r="D46" s="2" t="s">
        <v>15</v>
      </c>
      <c r="E46" s="2" t="s">
        <v>16</v>
      </c>
    </row>
    <row r="47" spans="1:5" x14ac:dyDescent="0.25">
      <c r="A47" s="2">
        <v>437</v>
      </c>
      <c r="B47" s="2">
        <v>10</v>
      </c>
      <c r="C47" s="8">
        <v>45698</v>
      </c>
      <c r="D47" s="2" t="s">
        <v>17</v>
      </c>
      <c r="E47" s="2" t="s">
        <v>18</v>
      </c>
    </row>
    <row r="48" spans="1:5" x14ac:dyDescent="0.25">
      <c r="A48" s="2">
        <v>1649</v>
      </c>
      <c r="B48" s="2">
        <v>43</v>
      </c>
      <c r="C48" s="8">
        <v>45910</v>
      </c>
      <c r="D48" s="2" t="s">
        <v>12</v>
      </c>
      <c r="E48" s="2" t="s">
        <v>13</v>
      </c>
    </row>
    <row r="49" spans="1:5" x14ac:dyDescent="0.25">
      <c r="A49" s="2">
        <v>1314</v>
      </c>
      <c r="B49" s="2">
        <v>33</v>
      </c>
      <c r="C49" s="8">
        <v>45858</v>
      </c>
      <c r="D49" s="2" t="s">
        <v>20</v>
      </c>
      <c r="E49" s="2" t="s">
        <v>16</v>
      </c>
    </row>
    <row r="50" spans="1:5" x14ac:dyDescent="0.25">
      <c r="A50" s="2">
        <v>466</v>
      </c>
      <c r="B50" s="2">
        <v>12</v>
      </c>
      <c r="C50" s="8">
        <v>45739</v>
      </c>
      <c r="D50" s="2" t="s">
        <v>12</v>
      </c>
      <c r="E50" s="2" t="s">
        <v>13</v>
      </c>
    </row>
    <row r="51" spans="1:5" x14ac:dyDescent="0.25">
      <c r="A51" s="2">
        <v>80</v>
      </c>
      <c r="B51" s="2">
        <v>2</v>
      </c>
      <c r="C51" s="8">
        <v>45671</v>
      </c>
      <c r="D51" s="2" t="s">
        <v>19</v>
      </c>
      <c r="E51" s="2" t="s">
        <v>18</v>
      </c>
    </row>
    <row r="52" spans="1:5" x14ac:dyDescent="0.25">
      <c r="A52" s="2">
        <v>1516</v>
      </c>
      <c r="B52" s="2">
        <v>38</v>
      </c>
      <c r="C52" s="8">
        <v>45877</v>
      </c>
      <c r="D52" s="2" t="s">
        <v>17</v>
      </c>
      <c r="E52" s="2" t="s">
        <v>13</v>
      </c>
    </row>
    <row r="53" spans="1:5" x14ac:dyDescent="0.25">
      <c r="A53" s="2">
        <v>1153</v>
      </c>
      <c r="B53" s="2">
        <v>28</v>
      </c>
      <c r="C53" s="8">
        <v>45831</v>
      </c>
      <c r="D53" s="2" t="s">
        <v>12</v>
      </c>
      <c r="E53" s="2" t="s">
        <v>16</v>
      </c>
    </row>
    <row r="54" spans="1:5" x14ac:dyDescent="0.25">
      <c r="A54" s="2">
        <v>890</v>
      </c>
      <c r="B54" s="2">
        <v>22</v>
      </c>
      <c r="C54" s="8">
        <v>45783</v>
      </c>
      <c r="D54" s="2" t="s">
        <v>19</v>
      </c>
      <c r="E54" s="2" t="s">
        <v>18</v>
      </c>
    </row>
    <row r="55" spans="1:5" x14ac:dyDescent="0.25">
      <c r="A55" s="2">
        <v>1099</v>
      </c>
      <c r="B55" s="2">
        <v>28</v>
      </c>
      <c r="C55" s="8">
        <v>45828</v>
      </c>
      <c r="D55" s="2" t="s">
        <v>12</v>
      </c>
      <c r="E55" s="2" t="s">
        <v>16</v>
      </c>
    </row>
    <row r="56" spans="1:5" x14ac:dyDescent="0.25">
      <c r="A56" s="2">
        <v>857</v>
      </c>
      <c r="B56" s="2">
        <v>21</v>
      </c>
      <c r="C56" s="8">
        <v>45799</v>
      </c>
      <c r="D56" s="2" t="s">
        <v>19</v>
      </c>
      <c r="E56" s="2" t="s">
        <v>13</v>
      </c>
    </row>
    <row r="57" spans="1:5" x14ac:dyDescent="0.25">
      <c r="A57" s="2">
        <v>2124</v>
      </c>
      <c r="B57" s="2">
        <v>59</v>
      </c>
      <c r="C57" s="8">
        <v>46009</v>
      </c>
      <c r="D57" s="2" t="s">
        <v>15</v>
      </c>
      <c r="E57" s="2" t="s">
        <v>13</v>
      </c>
    </row>
    <row r="58" spans="1:5" x14ac:dyDescent="0.25">
      <c r="A58" s="2">
        <v>2026</v>
      </c>
      <c r="B58" s="2">
        <v>53</v>
      </c>
      <c r="C58" s="8">
        <v>45966</v>
      </c>
      <c r="D58" s="2" t="s">
        <v>17</v>
      </c>
      <c r="E58" s="2" t="s">
        <v>13</v>
      </c>
    </row>
    <row r="59" spans="1:5" x14ac:dyDescent="0.25">
      <c r="A59" s="2">
        <v>1335</v>
      </c>
      <c r="B59" s="2">
        <v>33</v>
      </c>
      <c r="C59" s="8">
        <v>45859</v>
      </c>
      <c r="D59" s="2" t="s">
        <v>15</v>
      </c>
      <c r="E59" s="2" t="s">
        <v>13</v>
      </c>
    </row>
    <row r="60" spans="1:5" x14ac:dyDescent="0.25">
      <c r="A60" s="2">
        <v>305</v>
      </c>
      <c r="B60" s="2">
        <v>7</v>
      </c>
      <c r="C60" s="8">
        <v>45702</v>
      </c>
      <c r="D60" s="2" t="s">
        <v>12</v>
      </c>
      <c r="E60" s="2" t="s">
        <v>18</v>
      </c>
    </row>
    <row r="61" spans="1:5" x14ac:dyDescent="0.25">
      <c r="A61" s="2">
        <v>155</v>
      </c>
      <c r="B61" s="2">
        <v>3</v>
      </c>
      <c r="C61" s="8">
        <v>45665</v>
      </c>
      <c r="D61" s="2" t="s">
        <v>12</v>
      </c>
      <c r="E61" s="2" t="s">
        <v>16</v>
      </c>
    </row>
    <row r="62" spans="1:5" x14ac:dyDescent="0.25">
      <c r="A62" s="2">
        <v>140</v>
      </c>
      <c r="B62" s="2">
        <v>3</v>
      </c>
      <c r="C62" s="8">
        <v>45680</v>
      </c>
      <c r="D62" s="2" t="s">
        <v>20</v>
      </c>
      <c r="E62" s="2" t="s">
        <v>13</v>
      </c>
    </row>
    <row r="63" spans="1:5" x14ac:dyDescent="0.25">
      <c r="A63" s="2">
        <v>1370</v>
      </c>
      <c r="B63" s="2">
        <v>34</v>
      </c>
      <c r="C63" s="8">
        <v>45863</v>
      </c>
      <c r="D63" s="2" t="s">
        <v>12</v>
      </c>
      <c r="E63" s="2" t="s">
        <v>14</v>
      </c>
    </row>
    <row r="64" spans="1:5" x14ac:dyDescent="0.25">
      <c r="A64" s="2">
        <v>1054</v>
      </c>
      <c r="B64" s="2">
        <v>27</v>
      </c>
      <c r="C64" s="8">
        <v>45827</v>
      </c>
      <c r="D64" s="2" t="s">
        <v>19</v>
      </c>
      <c r="E64" s="2" t="s">
        <v>14</v>
      </c>
    </row>
    <row r="65" spans="1:5" x14ac:dyDescent="0.25">
      <c r="A65" s="2">
        <v>1900</v>
      </c>
      <c r="B65" s="2">
        <v>48</v>
      </c>
      <c r="C65" s="8">
        <v>45946</v>
      </c>
      <c r="D65" s="2" t="s">
        <v>12</v>
      </c>
      <c r="E65" s="2" t="s">
        <v>16</v>
      </c>
    </row>
    <row r="66" spans="1:5" x14ac:dyDescent="0.25">
      <c r="A66" s="2">
        <v>1113</v>
      </c>
      <c r="B66" s="2">
        <v>28</v>
      </c>
      <c r="C66" s="8">
        <v>45809</v>
      </c>
      <c r="D66" s="2" t="s">
        <v>15</v>
      </c>
      <c r="E66" s="2" t="s">
        <v>14</v>
      </c>
    </row>
    <row r="67" spans="1:5" x14ac:dyDescent="0.25">
      <c r="A67" s="2">
        <v>942</v>
      </c>
      <c r="B67" s="2">
        <v>23</v>
      </c>
      <c r="C67" s="8">
        <v>45800</v>
      </c>
      <c r="D67" s="2" t="s">
        <v>20</v>
      </c>
      <c r="E67" s="2" t="s">
        <v>16</v>
      </c>
    </row>
    <row r="68" spans="1:5" x14ac:dyDescent="0.25">
      <c r="A68" s="2">
        <v>214</v>
      </c>
      <c r="B68" s="2">
        <v>4</v>
      </c>
      <c r="C68" s="8">
        <v>45676</v>
      </c>
      <c r="D68" s="2" t="s">
        <v>20</v>
      </c>
      <c r="E68" s="2" t="s">
        <v>16</v>
      </c>
    </row>
    <row r="69" spans="1:5" x14ac:dyDescent="0.25">
      <c r="A69" s="2">
        <v>279</v>
      </c>
      <c r="B69" s="2">
        <v>7</v>
      </c>
      <c r="C69" s="8">
        <v>45697</v>
      </c>
      <c r="D69" s="2" t="s">
        <v>12</v>
      </c>
      <c r="E69" s="2" t="s">
        <v>16</v>
      </c>
    </row>
    <row r="70" spans="1:5" x14ac:dyDescent="0.25">
      <c r="A70" s="2">
        <v>1819</v>
      </c>
      <c r="B70" s="2">
        <v>47</v>
      </c>
      <c r="C70" s="8">
        <v>45945</v>
      </c>
      <c r="D70" s="2" t="s">
        <v>12</v>
      </c>
      <c r="E70" s="2" t="s">
        <v>13</v>
      </c>
    </row>
    <row r="71" spans="1:5" x14ac:dyDescent="0.25">
      <c r="A71" s="2">
        <v>587</v>
      </c>
      <c r="B71" s="2">
        <v>13</v>
      </c>
      <c r="C71" s="8">
        <v>45734</v>
      </c>
      <c r="D71" s="2" t="s">
        <v>12</v>
      </c>
      <c r="E71" s="2" t="s">
        <v>16</v>
      </c>
    </row>
    <row r="72" spans="1:5" x14ac:dyDescent="0.25">
      <c r="A72" s="2">
        <v>1109</v>
      </c>
      <c r="B72" s="2">
        <v>28</v>
      </c>
      <c r="C72" s="8">
        <v>45816</v>
      </c>
      <c r="D72" s="2" t="s">
        <v>20</v>
      </c>
      <c r="E72" s="2" t="s">
        <v>18</v>
      </c>
    </row>
    <row r="73" spans="1:5" x14ac:dyDescent="0.25">
      <c r="A73" s="2">
        <v>2047</v>
      </c>
      <c r="B73" s="2">
        <v>54</v>
      </c>
      <c r="C73" s="8">
        <v>45964</v>
      </c>
      <c r="D73" s="2" t="s">
        <v>12</v>
      </c>
      <c r="E73" s="2" t="s">
        <v>16</v>
      </c>
    </row>
    <row r="74" spans="1:5" x14ac:dyDescent="0.25">
      <c r="A74" s="2">
        <v>178</v>
      </c>
      <c r="B74" s="2">
        <v>3</v>
      </c>
      <c r="C74" s="8">
        <v>45685</v>
      </c>
      <c r="D74" s="2" t="s">
        <v>20</v>
      </c>
      <c r="E74" s="2" t="s">
        <v>18</v>
      </c>
    </row>
    <row r="75" spans="1:5" x14ac:dyDescent="0.25">
      <c r="A75" s="2">
        <v>1732</v>
      </c>
      <c r="B75" s="2">
        <v>44</v>
      </c>
      <c r="C75" s="8">
        <v>45921</v>
      </c>
      <c r="D75" s="2" t="s">
        <v>20</v>
      </c>
      <c r="E75" s="2" t="s">
        <v>18</v>
      </c>
    </row>
    <row r="76" spans="1:5" x14ac:dyDescent="0.25">
      <c r="A76" s="2">
        <v>1401</v>
      </c>
      <c r="B76" s="2">
        <v>36</v>
      </c>
      <c r="C76" s="8">
        <v>45872</v>
      </c>
      <c r="D76" s="2" t="s">
        <v>12</v>
      </c>
      <c r="E76" s="2" t="s">
        <v>16</v>
      </c>
    </row>
    <row r="77" spans="1:5" x14ac:dyDescent="0.25">
      <c r="A77" s="2">
        <v>1977</v>
      </c>
      <c r="B77" s="2">
        <v>51</v>
      </c>
      <c r="C77" s="8">
        <v>45987</v>
      </c>
      <c r="D77" s="2" t="s">
        <v>17</v>
      </c>
      <c r="E77" s="2" t="s">
        <v>13</v>
      </c>
    </row>
    <row r="78" spans="1:5" x14ac:dyDescent="0.25">
      <c r="A78" s="2">
        <v>543</v>
      </c>
      <c r="B78" s="2">
        <v>13</v>
      </c>
      <c r="C78" s="8">
        <v>45743</v>
      </c>
      <c r="D78" s="2" t="s">
        <v>15</v>
      </c>
      <c r="E78" s="2" t="s">
        <v>13</v>
      </c>
    </row>
    <row r="79" spans="1:5" x14ac:dyDescent="0.25">
      <c r="A79" s="2">
        <v>1903</v>
      </c>
      <c r="B79" s="2">
        <v>48</v>
      </c>
      <c r="C79" s="8">
        <v>45940</v>
      </c>
      <c r="D79" s="2" t="s">
        <v>12</v>
      </c>
      <c r="E79" s="2" t="s">
        <v>18</v>
      </c>
    </row>
    <row r="80" spans="1:5" x14ac:dyDescent="0.25">
      <c r="A80" s="2">
        <v>2007</v>
      </c>
      <c r="B80" s="2">
        <v>53</v>
      </c>
      <c r="C80" s="8">
        <v>45973</v>
      </c>
      <c r="D80" s="2" t="s">
        <v>20</v>
      </c>
      <c r="E80" s="2" t="s">
        <v>13</v>
      </c>
    </row>
    <row r="81" spans="1:5" x14ac:dyDescent="0.25">
      <c r="A81" s="2">
        <v>1564</v>
      </c>
      <c r="B81" s="2">
        <v>41</v>
      </c>
      <c r="C81" s="8">
        <v>45914</v>
      </c>
      <c r="D81" s="2" t="s">
        <v>12</v>
      </c>
      <c r="E81" s="2" t="s">
        <v>18</v>
      </c>
    </row>
    <row r="82" spans="1:5" x14ac:dyDescent="0.25">
      <c r="A82" s="2">
        <v>2074</v>
      </c>
      <c r="B82" s="2">
        <v>56</v>
      </c>
      <c r="C82" s="8">
        <v>45995</v>
      </c>
      <c r="D82" s="2" t="s">
        <v>19</v>
      </c>
      <c r="E82" s="2" t="s">
        <v>18</v>
      </c>
    </row>
    <row r="83" spans="1:5" x14ac:dyDescent="0.25">
      <c r="A83" s="2">
        <v>1883</v>
      </c>
      <c r="B83" s="2">
        <v>48</v>
      </c>
      <c r="C83" s="8">
        <v>45951</v>
      </c>
      <c r="D83" s="2" t="s">
        <v>20</v>
      </c>
      <c r="E83" s="2" t="s">
        <v>13</v>
      </c>
    </row>
    <row r="84" spans="1:5" x14ac:dyDescent="0.25">
      <c r="A84" s="2">
        <v>123</v>
      </c>
      <c r="B84" s="2">
        <v>3</v>
      </c>
      <c r="C84" s="8">
        <v>45672</v>
      </c>
      <c r="D84" s="2" t="s">
        <v>20</v>
      </c>
      <c r="E84" s="2" t="s">
        <v>13</v>
      </c>
    </row>
    <row r="85" spans="1:5" x14ac:dyDescent="0.25">
      <c r="A85" s="2">
        <v>92</v>
      </c>
      <c r="B85" s="2">
        <v>3</v>
      </c>
      <c r="C85" s="8">
        <v>45672</v>
      </c>
      <c r="D85" s="2" t="s">
        <v>20</v>
      </c>
      <c r="E85" s="2" t="s">
        <v>16</v>
      </c>
    </row>
    <row r="86" spans="1:5" x14ac:dyDescent="0.25">
      <c r="A86" s="2">
        <v>1389</v>
      </c>
      <c r="B86" s="2">
        <v>35</v>
      </c>
      <c r="C86" s="8">
        <v>45865</v>
      </c>
      <c r="D86" s="2" t="s">
        <v>12</v>
      </c>
      <c r="E86" s="2" t="s">
        <v>16</v>
      </c>
    </row>
    <row r="87" spans="1:5" x14ac:dyDescent="0.25">
      <c r="A87" s="2">
        <v>1002</v>
      </c>
      <c r="B87" s="2">
        <v>26</v>
      </c>
      <c r="C87" s="8">
        <v>45824</v>
      </c>
      <c r="D87" s="2" t="s">
        <v>19</v>
      </c>
      <c r="E87" s="2" t="s">
        <v>13</v>
      </c>
    </row>
    <row r="88" spans="1:5" x14ac:dyDescent="0.25">
      <c r="A88" s="2">
        <v>462</v>
      </c>
      <c r="B88" s="2">
        <v>12</v>
      </c>
      <c r="C88" s="8">
        <v>45728</v>
      </c>
      <c r="D88" s="2" t="s">
        <v>20</v>
      </c>
      <c r="E88" s="2" t="s">
        <v>16</v>
      </c>
    </row>
    <row r="89" spans="1:5" x14ac:dyDescent="0.25">
      <c r="A89" s="2">
        <v>640</v>
      </c>
      <c r="B89" s="2">
        <v>16</v>
      </c>
      <c r="C89" s="8">
        <v>45764</v>
      </c>
      <c r="D89" s="2" t="s">
        <v>15</v>
      </c>
      <c r="E89" s="2" t="s">
        <v>13</v>
      </c>
    </row>
    <row r="90" spans="1:5" x14ac:dyDescent="0.25">
      <c r="A90" s="2">
        <v>1213</v>
      </c>
      <c r="B90" s="2">
        <v>31</v>
      </c>
      <c r="C90" s="8">
        <v>45849</v>
      </c>
      <c r="D90" s="2" t="s">
        <v>12</v>
      </c>
      <c r="E90" s="2" t="s">
        <v>16</v>
      </c>
    </row>
    <row r="91" spans="1:5" x14ac:dyDescent="0.25">
      <c r="A91" s="2">
        <v>203</v>
      </c>
      <c r="B91" s="2">
        <v>4</v>
      </c>
      <c r="C91" s="8">
        <v>45672</v>
      </c>
      <c r="D91" s="2" t="s">
        <v>20</v>
      </c>
      <c r="E91" s="2" t="s">
        <v>16</v>
      </c>
    </row>
    <row r="92" spans="1:5" x14ac:dyDescent="0.25">
      <c r="A92" s="2">
        <v>1843</v>
      </c>
      <c r="B92" s="2">
        <v>48</v>
      </c>
      <c r="C92" s="8">
        <v>45954</v>
      </c>
      <c r="D92" s="2" t="s">
        <v>19</v>
      </c>
      <c r="E92" s="2" t="s">
        <v>18</v>
      </c>
    </row>
    <row r="93" spans="1:5" x14ac:dyDescent="0.25">
      <c r="A93" s="2">
        <v>15</v>
      </c>
      <c r="B93" s="2">
        <v>1</v>
      </c>
      <c r="C93" s="8">
        <v>45676</v>
      </c>
      <c r="D93" s="2" t="s">
        <v>20</v>
      </c>
      <c r="E93" s="2" t="s">
        <v>16</v>
      </c>
    </row>
    <row r="94" spans="1:5" x14ac:dyDescent="0.25">
      <c r="A94" s="2">
        <v>504</v>
      </c>
      <c r="B94" s="2">
        <v>12</v>
      </c>
      <c r="C94" s="8">
        <v>45742</v>
      </c>
      <c r="D94" s="2" t="s">
        <v>20</v>
      </c>
      <c r="E94" s="2" t="s">
        <v>16</v>
      </c>
    </row>
    <row r="95" spans="1:5" x14ac:dyDescent="0.25">
      <c r="A95" s="2">
        <v>1505</v>
      </c>
      <c r="B95" s="2">
        <v>38</v>
      </c>
      <c r="C95" s="8">
        <v>45875</v>
      </c>
      <c r="D95" s="2" t="s">
        <v>12</v>
      </c>
      <c r="E95" s="2" t="s">
        <v>18</v>
      </c>
    </row>
    <row r="96" spans="1:5" x14ac:dyDescent="0.25">
      <c r="A96" s="2">
        <v>817</v>
      </c>
      <c r="B96" s="2">
        <v>20</v>
      </c>
      <c r="C96" s="8">
        <v>45769</v>
      </c>
      <c r="D96" s="2" t="s">
        <v>12</v>
      </c>
      <c r="E96" s="2" t="s">
        <v>13</v>
      </c>
    </row>
    <row r="97" spans="1:5" x14ac:dyDescent="0.25">
      <c r="A97" s="2">
        <v>1704</v>
      </c>
      <c r="B97" s="2">
        <v>43</v>
      </c>
      <c r="C97" s="8">
        <v>45924</v>
      </c>
      <c r="D97" s="2" t="s">
        <v>20</v>
      </c>
      <c r="E97" s="2" t="s">
        <v>13</v>
      </c>
    </row>
    <row r="98" spans="1:5" x14ac:dyDescent="0.25">
      <c r="A98" s="2">
        <v>2012</v>
      </c>
      <c r="B98" s="2">
        <v>53</v>
      </c>
      <c r="C98" s="8">
        <v>45965</v>
      </c>
      <c r="D98" s="2" t="s">
        <v>19</v>
      </c>
      <c r="E98" s="2" t="s">
        <v>13</v>
      </c>
    </row>
    <row r="99" spans="1:5" x14ac:dyDescent="0.25">
      <c r="A99" s="2">
        <v>240</v>
      </c>
      <c r="B99" s="2">
        <v>6</v>
      </c>
      <c r="C99" s="8">
        <v>45692</v>
      </c>
      <c r="D99" s="2" t="s">
        <v>20</v>
      </c>
      <c r="E99" s="2" t="s">
        <v>16</v>
      </c>
    </row>
    <row r="100" spans="1:5" x14ac:dyDescent="0.25">
      <c r="A100" s="2">
        <v>1950</v>
      </c>
      <c r="B100" s="2">
        <v>51</v>
      </c>
      <c r="C100" s="8">
        <v>45965</v>
      </c>
      <c r="D100" s="2" t="s">
        <v>19</v>
      </c>
      <c r="E100" s="2" t="s">
        <v>13</v>
      </c>
    </row>
    <row r="101" spans="1:5" x14ac:dyDescent="0.25">
      <c r="A101" s="2">
        <v>2064</v>
      </c>
      <c r="B101" s="2">
        <v>55</v>
      </c>
      <c r="C101" s="8">
        <v>45989</v>
      </c>
      <c r="D101" s="2" t="s">
        <v>12</v>
      </c>
      <c r="E101" s="2" t="s">
        <v>18</v>
      </c>
    </row>
    <row r="102" spans="1:5" x14ac:dyDescent="0.25">
      <c r="A102" s="2">
        <v>116</v>
      </c>
      <c r="B102" s="2">
        <v>3</v>
      </c>
      <c r="C102" s="8">
        <v>45676</v>
      </c>
      <c r="D102" s="2" t="s">
        <v>15</v>
      </c>
      <c r="E102" s="2" t="s">
        <v>14</v>
      </c>
    </row>
    <row r="103" spans="1:5" x14ac:dyDescent="0.25">
      <c r="A103" s="2">
        <v>1406</v>
      </c>
      <c r="B103" s="2">
        <v>36</v>
      </c>
      <c r="C103" s="8">
        <v>45874</v>
      </c>
      <c r="D103" s="2" t="s">
        <v>12</v>
      </c>
      <c r="E103" s="2" t="s">
        <v>16</v>
      </c>
    </row>
    <row r="104" spans="1:5" x14ac:dyDescent="0.25">
      <c r="A104" s="2">
        <v>229</v>
      </c>
      <c r="B104" s="2">
        <v>6</v>
      </c>
      <c r="C104" s="8">
        <v>45695</v>
      </c>
      <c r="D104" s="2" t="s">
        <v>20</v>
      </c>
      <c r="E104" s="2" t="s">
        <v>16</v>
      </c>
    </row>
    <row r="105" spans="1:5" x14ac:dyDescent="0.25">
      <c r="A105" s="2">
        <v>1252</v>
      </c>
      <c r="B105" s="2">
        <v>32</v>
      </c>
      <c r="C105" s="8">
        <v>45849</v>
      </c>
      <c r="D105" s="2" t="s">
        <v>12</v>
      </c>
      <c r="E105" s="2" t="s">
        <v>16</v>
      </c>
    </row>
    <row r="106" spans="1:5" x14ac:dyDescent="0.25">
      <c r="A106" s="2">
        <v>2010</v>
      </c>
      <c r="B106" s="2">
        <v>53</v>
      </c>
      <c r="C106" s="8">
        <v>45979</v>
      </c>
      <c r="D106" s="2" t="s">
        <v>19</v>
      </c>
      <c r="E106" s="2" t="s">
        <v>18</v>
      </c>
    </row>
    <row r="107" spans="1:5" x14ac:dyDescent="0.25">
      <c r="A107" s="2">
        <v>1279</v>
      </c>
      <c r="B107" s="2">
        <v>33</v>
      </c>
      <c r="C107" s="8">
        <v>45845</v>
      </c>
      <c r="D107" s="2" t="s">
        <v>19</v>
      </c>
      <c r="E107" s="2" t="s">
        <v>13</v>
      </c>
    </row>
    <row r="108" spans="1:5" x14ac:dyDescent="0.25">
      <c r="A108" s="2">
        <v>657</v>
      </c>
      <c r="B108" s="2">
        <v>17</v>
      </c>
      <c r="C108" s="8">
        <v>45760</v>
      </c>
      <c r="D108" s="2" t="s">
        <v>20</v>
      </c>
      <c r="E108" s="2" t="s">
        <v>16</v>
      </c>
    </row>
    <row r="109" spans="1:5" x14ac:dyDescent="0.25">
      <c r="A109" s="2">
        <v>499</v>
      </c>
      <c r="B109" s="2">
        <v>12</v>
      </c>
      <c r="C109" s="8">
        <v>45729</v>
      </c>
      <c r="D109" s="2" t="s">
        <v>15</v>
      </c>
      <c r="E109" s="2" t="s">
        <v>16</v>
      </c>
    </row>
    <row r="110" spans="1:5" x14ac:dyDescent="0.25">
      <c r="A110" s="2">
        <v>1173</v>
      </c>
      <c r="B110" s="2">
        <v>29</v>
      </c>
      <c r="C110" s="8">
        <v>45833</v>
      </c>
      <c r="D110" s="2" t="s">
        <v>17</v>
      </c>
      <c r="E110" s="2" t="s">
        <v>13</v>
      </c>
    </row>
    <row r="111" spans="1:5" x14ac:dyDescent="0.25">
      <c r="A111" s="2">
        <v>926</v>
      </c>
      <c r="B111" s="2">
        <v>23</v>
      </c>
      <c r="C111" s="8">
        <v>45805</v>
      </c>
      <c r="D111" s="2" t="s">
        <v>19</v>
      </c>
      <c r="E111" s="2" t="s">
        <v>18</v>
      </c>
    </row>
    <row r="112" spans="1:5" x14ac:dyDescent="0.25">
      <c r="A112" s="2">
        <v>1719</v>
      </c>
      <c r="B112" s="2">
        <v>44</v>
      </c>
      <c r="C112" s="8">
        <v>45902</v>
      </c>
      <c r="D112" s="2" t="s">
        <v>12</v>
      </c>
      <c r="E112" s="2" t="s">
        <v>18</v>
      </c>
    </row>
    <row r="113" spans="1:5" x14ac:dyDescent="0.25">
      <c r="A113" s="2">
        <v>852</v>
      </c>
      <c r="B113" s="2">
        <v>21</v>
      </c>
      <c r="C113" s="8">
        <v>45804</v>
      </c>
      <c r="D113" s="2" t="s">
        <v>15</v>
      </c>
      <c r="E113" s="2" t="s">
        <v>18</v>
      </c>
    </row>
    <row r="114" spans="1:5" x14ac:dyDescent="0.25">
      <c r="A114" s="2">
        <v>2058</v>
      </c>
      <c r="B114" s="2">
        <v>55</v>
      </c>
      <c r="C114" s="8">
        <v>45966</v>
      </c>
      <c r="D114" s="2" t="s">
        <v>12</v>
      </c>
      <c r="E114" s="2" t="s">
        <v>16</v>
      </c>
    </row>
    <row r="115" spans="1:5" x14ac:dyDescent="0.25">
      <c r="A115" s="2">
        <v>836</v>
      </c>
      <c r="B115" s="2">
        <v>21</v>
      </c>
      <c r="C115" s="8">
        <v>45792</v>
      </c>
      <c r="D115" s="2" t="s">
        <v>20</v>
      </c>
      <c r="E115" s="2" t="s">
        <v>18</v>
      </c>
    </row>
    <row r="116" spans="1:5" x14ac:dyDescent="0.25">
      <c r="A116" s="2">
        <v>1622</v>
      </c>
      <c r="B116" s="2">
        <v>42</v>
      </c>
      <c r="C116" s="8">
        <v>45922</v>
      </c>
      <c r="D116" s="2" t="s">
        <v>15</v>
      </c>
      <c r="E116" s="2" t="s">
        <v>18</v>
      </c>
    </row>
    <row r="117" spans="1:5" x14ac:dyDescent="0.25">
      <c r="A117" s="2">
        <v>1434</v>
      </c>
      <c r="B117" s="2">
        <v>37</v>
      </c>
      <c r="C117" s="8">
        <v>45876</v>
      </c>
      <c r="D117" s="2" t="s">
        <v>12</v>
      </c>
      <c r="E117" s="2" t="s">
        <v>16</v>
      </c>
    </row>
    <row r="118" spans="1:5" x14ac:dyDescent="0.25">
      <c r="A118" s="2">
        <v>964</v>
      </c>
      <c r="B118" s="2">
        <v>24</v>
      </c>
      <c r="C118" s="8">
        <v>45800</v>
      </c>
      <c r="D118" s="2" t="s">
        <v>20</v>
      </c>
      <c r="E118" s="2" t="s">
        <v>18</v>
      </c>
    </row>
    <row r="119" spans="1:5" x14ac:dyDescent="0.25">
      <c r="A119" s="2">
        <v>1999</v>
      </c>
      <c r="B119" s="2">
        <v>53</v>
      </c>
      <c r="C119" s="8">
        <v>45969</v>
      </c>
      <c r="D119" s="2" t="s">
        <v>12</v>
      </c>
      <c r="E119" s="2" t="s">
        <v>14</v>
      </c>
    </row>
    <row r="120" spans="1:5" x14ac:dyDescent="0.25">
      <c r="A120" s="2">
        <v>761</v>
      </c>
      <c r="B120" s="2">
        <v>18</v>
      </c>
      <c r="C120" s="8">
        <v>45763</v>
      </c>
      <c r="D120" s="2" t="s">
        <v>20</v>
      </c>
      <c r="E120" s="2" t="s">
        <v>18</v>
      </c>
    </row>
    <row r="121" spans="1:5" x14ac:dyDescent="0.25">
      <c r="A121" s="2">
        <v>1200</v>
      </c>
      <c r="B121" s="2">
        <v>31</v>
      </c>
      <c r="C121" s="8">
        <v>45856</v>
      </c>
      <c r="D121" s="2" t="s">
        <v>12</v>
      </c>
      <c r="E121" s="2" t="s">
        <v>18</v>
      </c>
    </row>
    <row r="122" spans="1:5" x14ac:dyDescent="0.25">
      <c r="A122" s="2">
        <v>754</v>
      </c>
      <c r="B122" s="2">
        <v>18</v>
      </c>
      <c r="C122" s="8">
        <v>45753</v>
      </c>
      <c r="D122" s="2" t="s">
        <v>15</v>
      </c>
      <c r="E122" s="2" t="s">
        <v>14</v>
      </c>
    </row>
    <row r="123" spans="1:5" x14ac:dyDescent="0.25">
      <c r="A123" s="2">
        <v>5</v>
      </c>
      <c r="B123" s="2">
        <v>1</v>
      </c>
      <c r="C123" s="8">
        <v>45682</v>
      </c>
      <c r="D123" s="2" t="s">
        <v>19</v>
      </c>
      <c r="E123" s="2" t="s">
        <v>14</v>
      </c>
    </row>
    <row r="124" spans="1:5" x14ac:dyDescent="0.25">
      <c r="A124" s="2">
        <v>198</v>
      </c>
      <c r="B124" s="2">
        <v>4</v>
      </c>
      <c r="C124" s="8">
        <v>45678</v>
      </c>
      <c r="D124" s="2" t="s">
        <v>17</v>
      </c>
      <c r="E124" s="2" t="s">
        <v>14</v>
      </c>
    </row>
    <row r="125" spans="1:5" x14ac:dyDescent="0.25">
      <c r="A125" s="2">
        <v>1396</v>
      </c>
      <c r="B125" s="2">
        <v>36</v>
      </c>
      <c r="C125" s="8">
        <v>45892</v>
      </c>
      <c r="D125" s="2" t="s">
        <v>20</v>
      </c>
      <c r="E125" s="2" t="s">
        <v>18</v>
      </c>
    </row>
    <row r="126" spans="1:5" x14ac:dyDescent="0.25">
      <c r="A126" s="2">
        <v>827</v>
      </c>
      <c r="B126" s="2">
        <v>21</v>
      </c>
      <c r="C126" s="8">
        <v>45785</v>
      </c>
      <c r="D126" s="2" t="s">
        <v>12</v>
      </c>
      <c r="E126" s="2" t="s">
        <v>16</v>
      </c>
    </row>
    <row r="127" spans="1:5" x14ac:dyDescent="0.25">
      <c r="A127" s="2">
        <v>1923</v>
      </c>
      <c r="B127" s="2">
        <v>49</v>
      </c>
      <c r="C127" s="8">
        <v>45934</v>
      </c>
      <c r="D127" s="2" t="s">
        <v>12</v>
      </c>
      <c r="E127" s="2" t="s">
        <v>16</v>
      </c>
    </row>
    <row r="128" spans="1:5" x14ac:dyDescent="0.25">
      <c r="A128" s="2">
        <v>1046</v>
      </c>
      <c r="B128" s="2">
        <v>27</v>
      </c>
      <c r="C128" s="8">
        <v>45819</v>
      </c>
      <c r="D128" s="2" t="s">
        <v>20</v>
      </c>
      <c r="E128" s="2" t="s">
        <v>18</v>
      </c>
    </row>
    <row r="129" spans="1:5" x14ac:dyDescent="0.25">
      <c r="A129" s="2">
        <v>1273</v>
      </c>
      <c r="B129" s="2">
        <v>33</v>
      </c>
      <c r="C129" s="8">
        <v>45851</v>
      </c>
      <c r="D129" s="2" t="s">
        <v>12</v>
      </c>
      <c r="E129" s="2" t="s">
        <v>18</v>
      </c>
    </row>
    <row r="130" spans="1:5" x14ac:dyDescent="0.25">
      <c r="A130" s="2">
        <v>1991</v>
      </c>
      <c r="B130" s="2">
        <v>52</v>
      </c>
      <c r="C130" s="8">
        <v>45969</v>
      </c>
      <c r="D130" s="2" t="s">
        <v>15</v>
      </c>
      <c r="E130" s="2" t="s">
        <v>16</v>
      </c>
    </row>
    <row r="131" spans="1:5" x14ac:dyDescent="0.25">
      <c r="A131" s="2">
        <v>1935</v>
      </c>
      <c r="B131" s="2">
        <v>50</v>
      </c>
      <c r="C131" s="8">
        <v>45937</v>
      </c>
      <c r="D131" s="2" t="s">
        <v>12</v>
      </c>
      <c r="E131" s="2" t="s">
        <v>18</v>
      </c>
    </row>
    <row r="132" spans="1:5" x14ac:dyDescent="0.25">
      <c r="A132" s="2">
        <v>1769</v>
      </c>
      <c r="B132" s="2">
        <v>46</v>
      </c>
      <c r="C132" s="8">
        <v>45932</v>
      </c>
      <c r="D132" s="2" t="s">
        <v>12</v>
      </c>
      <c r="E132" s="2" t="s">
        <v>16</v>
      </c>
    </row>
    <row r="133" spans="1:5" x14ac:dyDescent="0.25">
      <c r="A133" s="2">
        <v>1797</v>
      </c>
      <c r="B133" s="2">
        <v>46</v>
      </c>
      <c r="C133" s="8">
        <v>45940</v>
      </c>
      <c r="D133" s="2" t="s">
        <v>19</v>
      </c>
      <c r="E133" s="2" t="s">
        <v>18</v>
      </c>
    </row>
    <row r="134" spans="1:5" x14ac:dyDescent="0.25">
      <c r="A134" s="2">
        <v>2020</v>
      </c>
      <c r="B134" s="2">
        <v>53</v>
      </c>
      <c r="C134" s="8">
        <v>45977</v>
      </c>
      <c r="D134" s="2" t="s">
        <v>12</v>
      </c>
      <c r="E134" s="2" t="s">
        <v>16</v>
      </c>
    </row>
    <row r="135" spans="1:5" x14ac:dyDescent="0.25">
      <c r="A135" s="2">
        <v>1059</v>
      </c>
      <c r="B135" s="2">
        <v>27</v>
      </c>
      <c r="C135" s="8">
        <v>45832</v>
      </c>
      <c r="D135" s="2" t="s">
        <v>20</v>
      </c>
      <c r="E135" s="2" t="s">
        <v>18</v>
      </c>
    </row>
    <row r="136" spans="1:5" x14ac:dyDescent="0.25">
      <c r="A136" s="2">
        <v>973</v>
      </c>
      <c r="B136" s="2">
        <v>24</v>
      </c>
      <c r="C136" s="8">
        <v>45783</v>
      </c>
      <c r="D136" s="2" t="s">
        <v>20</v>
      </c>
      <c r="E136" s="2" t="s">
        <v>14</v>
      </c>
    </row>
    <row r="137" spans="1:5" x14ac:dyDescent="0.25">
      <c r="A137" s="2">
        <v>729</v>
      </c>
      <c r="B137" s="2">
        <v>18</v>
      </c>
      <c r="C137" s="8">
        <v>45766</v>
      </c>
      <c r="D137" s="2" t="s">
        <v>12</v>
      </c>
      <c r="E137" s="2" t="s">
        <v>18</v>
      </c>
    </row>
    <row r="138" spans="1:5" x14ac:dyDescent="0.25">
      <c r="A138" s="2">
        <v>2076</v>
      </c>
      <c r="B138" s="2">
        <v>56</v>
      </c>
      <c r="C138" s="8">
        <v>45992</v>
      </c>
      <c r="D138" s="2" t="s">
        <v>17</v>
      </c>
      <c r="E138" s="2" t="s">
        <v>18</v>
      </c>
    </row>
    <row r="139" spans="1:5" x14ac:dyDescent="0.25">
      <c r="A139" s="2">
        <v>525</v>
      </c>
      <c r="B139" s="2">
        <v>13</v>
      </c>
      <c r="C139" s="8">
        <v>45735</v>
      </c>
      <c r="D139" s="2" t="s">
        <v>19</v>
      </c>
      <c r="E139" s="2" t="s">
        <v>13</v>
      </c>
    </row>
    <row r="140" spans="1:5" x14ac:dyDescent="0.25">
      <c r="A140" s="2">
        <v>1644</v>
      </c>
      <c r="B140" s="2">
        <v>43</v>
      </c>
      <c r="C140" s="8">
        <v>45915</v>
      </c>
      <c r="D140" s="2" t="s">
        <v>15</v>
      </c>
      <c r="E140" s="2" t="s">
        <v>18</v>
      </c>
    </row>
    <row r="141" spans="1:5" x14ac:dyDescent="0.25">
      <c r="A141" s="2">
        <v>218</v>
      </c>
      <c r="B141" s="2">
        <v>5</v>
      </c>
      <c r="C141" s="8">
        <v>45663</v>
      </c>
      <c r="D141" s="2" t="s">
        <v>12</v>
      </c>
      <c r="E141" s="2" t="s">
        <v>16</v>
      </c>
    </row>
    <row r="142" spans="1:5" x14ac:dyDescent="0.25">
      <c r="A142" s="2">
        <v>845</v>
      </c>
      <c r="B142" s="2">
        <v>21</v>
      </c>
      <c r="C142" s="8">
        <v>45797</v>
      </c>
      <c r="D142" s="2" t="s">
        <v>19</v>
      </c>
      <c r="E142" s="2" t="s">
        <v>13</v>
      </c>
    </row>
    <row r="143" spans="1:5" x14ac:dyDescent="0.25">
      <c r="A143" s="2">
        <v>2130</v>
      </c>
      <c r="B143" s="2">
        <v>59</v>
      </c>
      <c r="C143" s="8">
        <v>46010</v>
      </c>
      <c r="D143" s="2" t="s">
        <v>12</v>
      </c>
      <c r="E143" s="2" t="s">
        <v>18</v>
      </c>
    </row>
    <row r="144" spans="1:5" x14ac:dyDescent="0.25">
      <c r="A144" s="2">
        <v>535</v>
      </c>
      <c r="B144" s="2">
        <v>13</v>
      </c>
      <c r="C144" s="8">
        <v>45720</v>
      </c>
      <c r="D144" s="2" t="s">
        <v>20</v>
      </c>
      <c r="E144" s="2" t="s">
        <v>16</v>
      </c>
    </row>
    <row r="145" spans="1:5" x14ac:dyDescent="0.25">
      <c r="A145" s="2">
        <v>1025</v>
      </c>
      <c r="B145" s="2">
        <v>26</v>
      </c>
      <c r="C145" s="8">
        <v>45824</v>
      </c>
      <c r="D145" s="2" t="s">
        <v>20</v>
      </c>
      <c r="E145" s="2" t="s">
        <v>13</v>
      </c>
    </row>
    <row r="146" spans="1:5" x14ac:dyDescent="0.25">
      <c r="A146" s="2">
        <v>424</v>
      </c>
      <c r="B146" s="2">
        <v>10</v>
      </c>
      <c r="C146" s="8">
        <v>45695</v>
      </c>
      <c r="D146" s="2" t="s">
        <v>12</v>
      </c>
      <c r="E146" s="2" t="s">
        <v>14</v>
      </c>
    </row>
    <row r="147" spans="1:5" x14ac:dyDescent="0.25">
      <c r="A147" s="2">
        <v>1465</v>
      </c>
      <c r="B147" s="2">
        <v>38</v>
      </c>
      <c r="C147" s="8">
        <v>45895</v>
      </c>
      <c r="D147" s="2" t="s">
        <v>20</v>
      </c>
      <c r="E147" s="2" t="s">
        <v>16</v>
      </c>
    </row>
    <row r="148" spans="1:5" x14ac:dyDescent="0.25">
      <c r="A148" s="2">
        <v>697</v>
      </c>
      <c r="B148" s="2">
        <v>18</v>
      </c>
      <c r="C148" s="8">
        <v>45775</v>
      </c>
      <c r="D148" s="2" t="s">
        <v>12</v>
      </c>
      <c r="E148" s="2" t="s">
        <v>16</v>
      </c>
    </row>
    <row r="149" spans="1:5" x14ac:dyDescent="0.25">
      <c r="A149" s="2">
        <v>374</v>
      </c>
      <c r="B149" s="2">
        <v>8</v>
      </c>
      <c r="C149" s="8">
        <v>45696</v>
      </c>
      <c r="D149" s="2" t="s">
        <v>15</v>
      </c>
      <c r="E149" s="2" t="s">
        <v>14</v>
      </c>
    </row>
    <row r="150" spans="1:5" x14ac:dyDescent="0.25">
      <c r="A150" s="2">
        <v>1239</v>
      </c>
      <c r="B150" s="2">
        <v>32</v>
      </c>
      <c r="C150" s="8">
        <v>45847</v>
      </c>
      <c r="D150" s="2" t="s">
        <v>20</v>
      </c>
      <c r="E150" s="2" t="s">
        <v>18</v>
      </c>
    </row>
    <row r="151" spans="1:5" x14ac:dyDescent="0.25">
      <c r="A151" s="2">
        <v>1804</v>
      </c>
      <c r="B151" s="2">
        <v>47</v>
      </c>
      <c r="C151" s="8">
        <v>45947</v>
      </c>
      <c r="D151" s="2" t="s">
        <v>12</v>
      </c>
      <c r="E151" s="2" t="s">
        <v>16</v>
      </c>
    </row>
    <row r="152" spans="1:5" x14ac:dyDescent="0.25">
      <c r="A152" s="2">
        <v>1138</v>
      </c>
      <c r="B152" s="2">
        <v>28</v>
      </c>
      <c r="C152" s="8">
        <v>45809</v>
      </c>
      <c r="D152" s="2" t="s">
        <v>20</v>
      </c>
      <c r="E152" s="2" t="s">
        <v>18</v>
      </c>
    </row>
    <row r="153" spans="1:5" x14ac:dyDescent="0.25">
      <c r="A153" s="2">
        <v>49</v>
      </c>
      <c r="B153" s="2">
        <v>2</v>
      </c>
      <c r="C153" s="8">
        <v>45680</v>
      </c>
      <c r="D153" s="2" t="s">
        <v>19</v>
      </c>
      <c r="E153" s="2" t="s">
        <v>16</v>
      </c>
    </row>
    <row r="154" spans="1:5" x14ac:dyDescent="0.25">
      <c r="A154" s="2">
        <v>1695</v>
      </c>
      <c r="B154" s="2">
        <v>43</v>
      </c>
      <c r="C154" s="8" t="s">
        <v>24</v>
      </c>
      <c r="D154" s="2" t="s">
        <v>20</v>
      </c>
      <c r="E154" s="2" t="s">
        <v>16</v>
      </c>
    </row>
    <row r="155" spans="1:5" x14ac:dyDescent="0.25">
      <c r="A155" s="2">
        <v>521</v>
      </c>
      <c r="B155" s="2">
        <v>13</v>
      </c>
      <c r="C155" s="8">
        <v>45720</v>
      </c>
      <c r="D155" s="2" t="s">
        <v>15</v>
      </c>
      <c r="E155" s="2" t="s">
        <v>16</v>
      </c>
    </row>
    <row r="156" spans="1:5" x14ac:dyDescent="0.25">
      <c r="A156" s="2">
        <v>1230</v>
      </c>
      <c r="B156" s="2">
        <v>32</v>
      </c>
      <c r="C156" s="8">
        <v>45854</v>
      </c>
      <c r="D156" s="2" t="s">
        <v>19</v>
      </c>
      <c r="E156" s="2" t="s">
        <v>14</v>
      </c>
    </row>
    <row r="157" spans="1:5" x14ac:dyDescent="0.25">
      <c r="A157" s="2">
        <v>1648</v>
      </c>
      <c r="B157" s="2">
        <v>43</v>
      </c>
      <c r="C157" s="8">
        <v>45916</v>
      </c>
      <c r="D157" s="2" t="s">
        <v>19</v>
      </c>
      <c r="E157" s="2" t="s">
        <v>13</v>
      </c>
    </row>
    <row r="158" spans="1:5" x14ac:dyDescent="0.25">
      <c r="A158" s="2">
        <v>1463</v>
      </c>
      <c r="B158" s="2">
        <v>38</v>
      </c>
      <c r="C158" s="8">
        <v>45897</v>
      </c>
      <c r="D158" s="2" t="s">
        <v>19</v>
      </c>
      <c r="E158" s="2" t="s">
        <v>14</v>
      </c>
    </row>
    <row r="159" spans="1:5" x14ac:dyDescent="0.25">
      <c r="A159" s="2">
        <v>472</v>
      </c>
      <c r="B159" s="2">
        <v>12</v>
      </c>
      <c r="C159" s="8">
        <v>45723</v>
      </c>
      <c r="D159" s="2" t="s">
        <v>12</v>
      </c>
      <c r="E159" s="2" t="s">
        <v>16</v>
      </c>
    </row>
    <row r="160" spans="1:5" x14ac:dyDescent="0.25">
      <c r="A160" s="2">
        <v>1256</v>
      </c>
      <c r="B160" s="2">
        <v>32</v>
      </c>
      <c r="C160" s="8">
        <v>45860</v>
      </c>
      <c r="D160" s="2" t="s">
        <v>17</v>
      </c>
      <c r="E160" s="2" t="s">
        <v>13</v>
      </c>
    </row>
    <row r="161" spans="1:5" x14ac:dyDescent="0.25">
      <c r="A161" s="2">
        <v>1453</v>
      </c>
      <c r="B161" s="2">
        <v>38</v>
      </c>
      <c r="C161" s="8">
        <v>45871</v>
      </c>
      <c r="D161" s="2" t="s">
        <v>20</v>
      </c>
      <c r="E161" s="2" t="s">
        <v>13</v>
      </c>
    </row>
    <row r="162" spans="1:5" x14ac:dyDescent="0.25">
      <c r="A162" s="2">
        <v>378</v>
      </c>
      <c r="B162" s="2">
        <v>8</v>
      </c>
      <c r="C162" s="8">
        <v>45701</v>
      </c>
      <c r="D162" s="2" t="s">
        <v>15</v>
      </c>
      <c r="E162" s="2" t="s">
        <v>18</v>
      </c>
    </row>
    <row r="163" spans="1:5" x14ac:dyDescent="0.25">
      <c r="A163" s="2">
        <v>1523</v>
      </c>
      <c r="B163" s="2">
        <v>39</v>
      </c>
      <c r="C163" s="8">
        <v>45882</v>
      </c>
      <c r="D163" s="2" t="s">
        <v>15</v>
      </c>
      <c r="E163" s="2" t="s">
        <v>13</v>
      </c>
    </row>
    <row r="164" spans="1:5" x14ac:dyDescent="0.25">
      <c r="A164" s="2">
        <v>1671</v>
      </c>
      <c r="B164" s="2">
        <v>43</v>
      </c>
      <c r="C164" s="8">
        <v>45908</v>
      </c>
      <c r="D164" s="2" t="s">
        <v>17</v>
      </c>
      <c r="E164" s="2" t="s">
        <v>14</v>
      </c>
    </row>
    <row r="165" spans="1:5" x14ac:dyDescent="0.25">
      <c r="A165" s="2">
        <v>808</v>
      </c>
      <c r="B165" s="2">
        <v>20</v>
      </c>
      <c r="C165" s="8">
        <v>45763</v>
      </c>
      <c r="D165" s="2" t="s">
        <v>12</v>
      </c>
      <c r="E165" s="2" t="s">
        <v>13</v>
      </c>
    </row>
    <row r="166" spans="1:5" x14ac:dyDescent="0.25">
      <c r="A166" s="2">
        <v>1851</v>
      </c>
      <c r="B166" s="2">
        <v>48</v>
      </c>
      <c r="C166" s="8">
        <v>45938</v>
      </c>
      <c r="D166" s="2" t="s">
        <v>12</v>
      </c>
      <c r="E166" s="2" t="s">
        <v>16</v>
      </c>
    </row>
    <row r="167" spans="1:5" x14ac:dyDescent="0.25">
      <c r="A167" s="2">
        <v>1147</v>
      </c>
      <c r="B167" s="2">
        <v>28</v>
      </c>
      <c r="C167" s="8">
        <v>45818</v>
      </c>
      <c r="D167" s="2" t="s">
        <v>15</v>
      </c>
      <c r="E167" s="2" t="s">
        <v>16</v>
      </c>
    </row>
    <row r="168" spans="1:5" x14ac:dyDescent="0.25">
      <c r="A168" s="2">
        <v>1572</v>
      </c>
      <c r="B168" s="2">
        <v>41</v>
      </c>
      <c r="C168" s="8">
        <v>45914</v>
      </c>
      <c r="D168" s="2" t="s">
        <v>12</v>
      </c>
      <c r="E168" s="2" t="s">
        <v>13</v>
      </c>
    </row>
    <row r="169" spans="1:5" x14ac:dyDescent="0.25">
      <c r="A169" s="2">
        <v>1800</v>
      </c>
      <c r="B169" s="2">
        <v>46</v>
      </c>
      <c r="C169" s="8">
        <v>45937</v>
      </c>
      <c r="D169" s="2" t="s">
        <v>12</v>
      </c>
      <c r="E169" s="2" t="s">
        <v>16</v>
      </c>
    </row>
    <row r="170" spans="1:5" x14ac:dyDescent="0.25">
      <c r="A170" s="2">
        <v>1668</v>
      </c>
      <c r="B170" s="2">
        <v>43</v>
      </c>
      <c r="C170" s="8">
        <v>45920</v>
      </c>
      <c r="D170" s="2" t="s">
        <v>12</v>
      </c>
      <c r="E170" s="2" t="s">
        <v>16</v>
      </c>
    </row>
    <row r="171" spans="1:5" x14ac:dyDescent="0.25">
      <c r="A171" s="2">
        <v>263</v>
      </c>
      <c r="B171" s="2">
        <v>7</v>
      </c>
      <c r="C171" s="8">
        <v>45706</v>
      </c>
      <c r="D171" s="2" t="s">
        <v>12</v>
      </c>
      <c r="E171" s="2" t="s">
        <v>16</v>
      </c>
    </row>
    <row r="172" spans="1:5" x14ac:dyDescent="0.25">
      <c r="A172" s="2">
        <v>736</v>
      </c>
      <c r="B172" s="2">
        <v>18</v>
      </c>
      <c r="C172" s="8">
        <v>45758</v>
      </c>
      <c r="D172" s="2" t="s">
        <v>12</v>
      </c>
      <c r="E172" s="2" t="s">
        <v>16</v>
      </c>
    </row>
    <row r="173" spans="1:5" x14ac:dyDescent="0.25">
      <c r="A173" s="2">
        <v>1115</v>
      </c>
      <c r="B173" s="2">
        <v>28</v>
      </c>
      <c r="C173" s="8">
        <v>45823</v>
      </c>
      <c r="D173" s="2" t="s">
        <v>12</v>
      </c>
      <c r="E173" s="2" t="s">
        <v>18</v>
      </c>
    </row>
    <row r="174" spans="1:5" x14ac:dyDescent="0.25">
      <c r="A174" s="2">
        <v>1532</v>
      </c>
      <c r="B174" s="2">
        <v>39</v>
      </c>
      <c r="C174" s="8">
        <v>45881</v>
      </c>
      <c r="D174" s="2" t="s">
        <v>15</v>
      </c>
      <c r="E174" s="2" t="s">
        <v>13</v>
      </c>
    </row>
    <row r="175" spans="1:5" x14ac:dyDescent="0.25">
      <c r="A175" s="2">
        <v>1582</v>
      </c>
      <c r="B175" s="2">
        <v>41</v>
      </c>
      <c r="C175" s="8">
        <v>45901</v>
      </c>
      <c r="D175" s="2" t="s">
        <v>12</v>
      </c>
      <c r="E175" s="2" t="s">
        <v>13</v>
      </c>
    </row>
    <row r="176" spans="1:5" x14ac:dyDescent="0.25">
      <c r="A176" s="2">
        <v>677</v>
      </c>
      <c r="B176" s="2">
        <v>17</v>
      </c>
      <c r="C176" s="8">
        <v>45761</v>
      </c>
      <c r="D176" s="2" t="s">
        <v>19</v>
      </c>
      <c r="E176" s="2" t="s">
        <v>14</v>
      </c>
    </row>
    <row r="177" spans="1:5" x14ac:dyDescent="0.25">
      <c r="A177" s="2">
        <v>1142</v>
      </c>
      <c r="B177" s="2">
        <v>28</v>
      </c>
      <c r="C177" s="8">
        <v>45826</v>
      </c>
      <c r="D177" s="2" t="s">
        <v>12</v>
      </c>
      <c r="E177" s="2" t="s">
        <v>16</v>
      </c>
    </row>
    <row r="178" spans="1:5" x14ac:dyDescent="0.25">
      <c r="A178" s="2">
        <v>232</v>
      </c>
      <c r="B178" s="2">
        <v>6</v>
      </c>
      <c r="C178" s="8">
        <v>45691</v>
      </c>
      <c r="D178" s="2" t="s">
        <v>12</v>
      </c>
      <c r="E178" s="2" t="s">
        <v>16</v>
      </c>
    </row>
    <row r="179" spans="1:5" x14ac:dyDescent="0.25">
      <c r="A179" s="2">
        <v>608</v>
      </c>
      <c r="B179" s="2">
        <v>14</v>
      </c>
      <c r="C179" s="8">
        <v>45730</v>
      </c>
      <c r="D179" s="2" t="s">
        <v>12</v>
      </c>
      <c r="E179" s="2" t="s">
        <v>13</v>
      </c>
    </row>
    <row r="180" spans="1:5" x14ac:dyDescent="0.25">
      <c r="A180" s="2">
        <v>1167</v>
      </c>
      <c r="B180" s="2">
        <v>29</v>
      </c>
      <c r="C180" s="8">
        <v>45830</v>
      </c>
      <c r="D180" s="2" t="s">
        <v>15</v>
      </c>
      <c r="E180" s="2" t="s">
        <v>16</v>
      </c>
    </row>
    <row r="181" spans="1:5" x14ac:dyDescent="0.25">
      <c r="A181" s="2">
        <v>1684</v>
      </c>
      <c r="B181" s="2">
        <v>43</v>
      </c>
      <c r="C181" s="8">
        <v>45917</v>
      </c>
      <c r="D181" s="2" t="s">
        <v>20</v>
      </c>
      <c r="E181" s="2" t="s">
        <v>14</v>
      </c>
    </row>
    <row r="182" spans="1:5" x14ac:dyDescent="0.25">
      <c r="A182" s="2">
        <v>1620</v>
      </c>
      <c r="B182" s="2">
        <v>42</v>
      </c>
      <c r="C182" s="8">
        <v>45919</v>
      </c>
      <c r="D182" s="2" t="s">
        <v>12</v>
      </c>
      <c r="E182" s="2" t="s">
        <v>13</v>
      </c>
    </row>
    <row r="183" spans="1:5" x14ac:dyDescent="0.25">
      <c r="A183" s="2">
        <v>1400</v>
      </c>
      <c r="B183" s="2">
        <v>36</v>
      </c>
      <c r="C183" s="8">
        <v>45881</v>
      </c>
      <c r="D183" s="2" t="s">
        <v>20</v>
      </c>
      <c r="E183" s="2" t="s">
        <v>13</v>
      </c>
    </row>
    <row r="184" spans="1:5" x14ac:dyDescent="0.25">
      <c r="A184" s="2">
        <v>900</v>
      </c>
      <c r="B184" s="2">
        <v>22</v>
      </c>
      <c r="C184" s="8">
        <v>45799</v>
      </c>
      <c r="D184" s="2" t="s">
        <v>20</v>
      </c>
      <c r="E184" s="2" t="s">
        <v>16</v>
      </c>
    </row>
    <row r="185" spans="1:5" x14ac:dyDescent="0.25">
      <c r="A185" s="2">
        <v>902</v>
      </c>
      <c r="B185" s="2">
        <v>22</v>
      </c>
      <c r="C185" s="8">
        <v>45796</v>
      </c>
      <c r="D185" s="2" t="s">
        <v>12</v>
      </c>
      <c r="E185" s="2" t="s">
        <v>13</v>
      </c>
    </row>
    <row r="186" spans="1:5" x14ac:dyDescent="0.25">
      <c r="A186" s="2">
        <v>735</v>
      </c>
      <c r="B186" s="2">
        <v>18</v>
      </c>
      <c r="C186" s="8">
        <v>45755</v>
      </c>
      <c r="D186" s="2" t="s">
        <v>20</v>
      </c>
      <c r="E186" s="2" t="s">
        <v>18</v>
      </c>
    </row>
    <row r="187" spans="1:5" x14ac:dyDescent="0.25">
      <c r="A187" s="2">
        <v>2119</v>
      </c>
      <c r="B187" s="2">
        <v>58</v>
      </c>
      <c r="C187" s="8">
        <v>46018</v>
      </c>
      <c r="D187" s="2" t="s">
        <v>12</v>
      </c>
      <c r="E187" s="2" t="s">
        <v>13</v>
      </c>
    </row>
    <row r="188" spans="1:5" x14ac:dyDescent="0.25">
      <c r="A188" s="2">
        <v>1757</v>
      </c>
      <c r="B188" s="2">
        <v>45</v>
      </c>
      <c r="C188" s="8">
        <v>45925</v>
      </c>
      <c r="D188" s="2" t="s">
        <v>20</v>
      </c>
      <c r="E188" s="2" t="s">
        <v>18</v>
      </c>
    </row>
    <row r="189" spans="1:5" x14ac:dyDescent="0.25">
      <c r="A189" s="2">
        <v>223</v>
      </c>
      <c r="B189" s="2">
        <v>5</v>
      </c>
      <c r="C189" s="8">
        <v>45676</v>
      </c>
      <c r="D189" s="2" t="s">
        <v>15</v>
      </c>
      <c r="E189" s="2" t="s">
        <v>16</v>
      </c>
    </row>
    <row r="190" spans="1:5" x14ac:dyDescent="0.25">
      <c r="A190" s="2">
        <v>1773</v>
      </c>
      <c r="B190" s="2">
        <v>46</v>
      </c>
      <c r="C190" s="8">
        <v>45947</v>
      </c>
      <c r="D190" s="2" t="s">
        <v>12</v>
      </c>
      <c r="E190" s="2" t="s">
        <v>16</v>
      </c>
    </row>
    <row r="191" spans="1:5" x14ac:dyDescent="0.25">
      <c r="A191" s="2">
        <v>473</v>
      </c>
      <c r="B191" s="2">
        <v>12</v>
      </c>
      <c r="C191" s="8">
        <v>45729</v>
      </c>
      <c r="D191" s="2" t="s">
        <v>20</v>
      </c>
      <c r="E191" s="2" t="s">
        <v>14</v>
      </c>
    </row>
    <row r="192" spans="1:5" x14ac:dyDescent="0.25">
      <c r="A192" s="2">
        <v>585</v>
      </c>
      <c r="B192" s="2">
        <v>13</v>
      </c>
      <c r="C192" s="8">
        <v>45734</v>
      </c>
      <c r="D192" s="2" t="s">
        <v>20</v>
      </c>
      <c r="E192" s="2" t="s">
        <v>16</v>
      </c>
    </row>
    <row r="193" spans="1:5" x14ac:dyDescent="0.25">
      <c r="A193" s="2">
        <v>1858</v>
      </c>
      <c r="B193" s="2">
        <v>48</v>
      </c>
      <c r="C193" s="8">
        <v>45950</v>
      </c>
      <c r="D193" s="2" t="s">
        <v>20</v>
      </c>
      <c r="E193" s="2" t="s">
        <v>16</v>
      </c>
    </row>
    <row r="194" spans="1:5" x14ac:dyDescent="0.25">
      <c r="A194" s="2">
        <v>1137</v>
      </c>
      <c r="B194" s="2">
        <v>28</v>
      </c>
      <c r="C194" s="8">
        <v>45829</v>
      </c>
      <c r="D194" s="2" t="s">
        <v>15</v>
      </c>
      <c r="E194" s="2" t="s">
        <v>13</v>
      </c>
    </row>
    <row r="195" spans="1:5" x14ac:dyDescent="0.25">
      <c r="A195" s="2">
        <v>2080</v>
      </c>
      <c r="B195" s="2">
        <v>56</v>
      </c>
      <c r="C195" s="8">
        <v>45993</v>
      </c>
      <c r="D195" s="2" t="s">
        <v>20</v>
      </c>
      <c r="E195" s="2" t="s">
        <v>16</v>
      </c>
    </row>
    <row r="196" spans="1:5" x14ac:dyDescent="0.25">
      <c r="A196" s="2">
        <v>1340</v>
      </c>
      <c r="B196" s="2">
        <v>33</v>
      </c>
      <c r="C196" s="8">
        <v>45842</v>
      </c>
      <c r="D196" s="2" t="s">
        <v>12</v>
      </c>
      <c r="E196" s="2" t="s">
        <v>16</v>
      </c>
    </row>
    <row r="197" spans="1:5" x14ac:dyDescent="0.25">
      <c r="A197" s="2">
        <v>139</v>
      </c>
      <c r="B197" s="2">
        <v>3</v>
      </c>
      <c r="C197" s="8">
        <v>45670</v>
      </c>
      <c r="D197" s="2" t="s">
        <v>20</v>
      </c>
      <c r="E197" s="2" t="s">
        <v>16</v>
      </c>
    </row>
    <row r="198" spans="1:5" x14ac:dyDescent="0.25">
      <c r="A198" s="2">
        <v>991</v>
      </c>
      <c r="B198" s="2">
        <v>25</v>
      </c>
      <c r="C198" s="8">
        <v>45796</v>
      </c>
      <c r="D198" s="2" t="s">
        <v>12</v>
      </c>
      <c r="E198" s="2" t="s">
        <v>16</v>
      </c>
    </row>
    <row r="199" spans="1:5" x14ac:dyDescent="0.25">
      <c r="A199" s="2">
        <v>1388</v>
      </c>
      <c r="B199" s="2">
        <v>35</v>
      </c>
      <c r="C199" s="8">
        <v>45848</v>
      </c>
      <c r="D199" s="2" t="s">
        <v>17</v>
      </c>
      <c r="E199" s="2" t="s">
        <v>16</v>
      </c>
    </row>
    <row r="200" spans="1:5" x14ac:dyDescent="0.25">
      <c r="A200" s="2">
        <v>1301</v>
      </c>
      <c r="B200" s="2">
        <v>33</v>
      </c>
      <c r="C200" s="8">
        <v>45844</v>
      </c>
      <c r="D200" s="2" t="s">
        <v>19</v>
      </c>
      <c r="E200" s="2" t="s">
        <v>18</v>
      </c>
    </row>
    <row r="201" spans="1:5" x14ac:dyDescent="0.25">
      <c r="A201" s="2">
        <v>1325</v>
      </c>
      <c r="B201" s="2">
        <v>33</v>
      </c>
      <c r="C201" s="8">
        <v>45857</v>
      </c>
      <c r="D201" s="2" t="s">
        <v>20</v>
      </c>
      <c r="E201" s="2" t="s">
        <v>18</v>
      </c>
    </row>
    <row r="202" spans="1:5" x14ac:dyDescent="0.25">
      <c r="A202" s="2">
        <v>1808</v>
      </c>
      <c r="B202" s="2">
        <v>47</v>
      </c>
      <c r="C202" s="8">
        <v>45938</v>
      </c>
      <c r="D202" s="2" t="s">
        <v>12</v>
      </c>
      <c r="E202" s="2" t="s">
        <v>13</v>
      </c>
    </row>
    <row r="203" spans="1:5" x14ac:dyDescent="0.25">
      <c r="A203" s="2">
        <v>1158</v>
      </c>
      <c r="B203" s="2">
        <v>29</v>
      </c>
      <c r="C203" s="8">
        <v>45829</v>
      </c>
      <c r="D203" s="2" t="s">
        <v>12</v>
      </c>
      <c r="E203" s="2" t="s">
        <v>13</v>
      </c>
    </row>
    <row r="204" spans="1:5" x14ac:dyDescent="0.25">
      <c r="A204" s="2">
        <v>1482</v>
      </c>
      <c r="B204" s="2">
        <v>38</v>
      </c>
      <c r="C204" s="8">
        <v>45891</v>
      </c>
      <c r="D204" s="2" t="s">
        <v>17</v>
      </c>
      <c r="E204" s="2" t="s">
        <v>18</v>
      </c>
    </row>
    <row r="205" spans="1:5" x14ac:dyDescent="0.25">
      <c r="A205" s="2">
        <v>1551</v>
      </c>
      <c r="B205" s="2">
        <v>40</v>
      </c>
      <c r="C205" s="8">
        <v>45874</v>
      </c>
      <c r="D205" s="2" t="s">
        <v>12</v>
      </c>
      <c r="E205" s="2" t="s">
        <v>13</v>
      </c>
    </row>
    <row r="206" spans="1:5" x14ac:dyDescent="0.25">
      <c r="A206" s="2">
        <v>1520</v>
      </c>
      <c r="B206" s="2">
        <v>39</v>
      </c>
      <c r="C206" s="8">
        <v>45886</v>
      </c>
      <c r="D206" s="2" t="s">
        <v>15</v>
      </c>
      <c r="E206" s="2" t="s">
        <v>16</v>
      </c>
    </row>
    <row r="207" spans="1:5" x14ac:dyDescent="0.25">
      <c r="A207" s="2">
        <v>239</v>
      </c>
      <c r="B207" s="2">
        <v>6</v>
      </c>
      <c r="C207" s="8">
        <v>45696</v>
      </c>
      <c r="D207" s="2" t="s">
        <v>20</v>
      </c>
      <c r="E207" s="2" t="s">
        <v>16</v>
      </c>
    </row>
    <row r="208" spans="1:5" x14ac:dyDescent="0.25">
      <c r="A208" s="2">
        <v>1170</v>
      </c>
      <c r="B208" s="2">
        <v>29</v>
      </c>
      <c r="C208" s="8">
        <v>45821</v>
      </c>
      <c r="D208" s="2" t="s">
        <v>19</v>
      </c>
      <c r="E208" s="2" t="s">
        <v>13</v>
      </c>
    </row>
    <row r="209" spans="1:5" x14ac:dyDescent="0.25">
      <c r="A209" s="2">
        <v>1631</v>
      </c>
      <c r="B209" s="2">
        <v>42</v>
      </c>
      <c r="C209" s="8">
        <v>45906</v>
      </c>
      <c r="D209" s="2" t="s">
        <v>15</v>
      </c>
      <c r="E209" s="2" t="s">
        <v>13</v>
      </c>
    </row>
    <row r="210" spans="1:5" x14ac:dyDescent="0.25">
      <c r="A210" s="2">
        <v>353</v>
      </c>
      <c r="B210" s="2">
        <v>8</v>
      </c>
      <c r="C210" s="8">
        <v>45693</v>
      </c>
      <c r="D210" s="2" t="s">
        <v>12</v>
      </c>
      <c r="E210" s="2" t="s">
        <v>13</v>
      </c>
    </row>
    <row r="211" spans="1:5" x14ac:dyDescent="0.25">
      <c r="A211" s="2">
        <v>1212</v>
      </c>
      <c r="B211" s="2">
        <v>31</v>
      </c>
      <c r="C211" s="8">
        <v>45858</v>
      </c>
      <c r="D211" s="2" t="s">
        <v>20</v>
      </c>
      <c r="E211" s="2" t="s">
        <v>16</v>
      </c>
    </row>
    <row r="212" spans="1:5" x14ac:dyDescent="0.25">
      <c r="A212" s="2">
        <v>1225</v>
      </c>
      <c r="B212" s="2">
        <v>32</v>
      </c>
      <c r="C212" s="8">
        <v>45853</v>
      </c>
      <c r="D212" s="2" t="s">
        <v>12</v>
      </c>
      <c r="E212" s="2" t="s">
        <v>16</v>
      </c>
    </row>
    <row r="213" spans="1:5" x14ac:dyDescent="0.25">
      <c r="A213" s="2">
        <v>920</v>
      </c>
      <c r="B213" s="2">
        <v>23</v>
      </c>
      <c r="C213" s="8">
        <v>45796</v>
      </c>
      <c r="D213" s="2" t="s">
        <v>12</v>
      </c>
      <c r="E213" s="2" t="s">
        <v>16</v>
      </c>
    </row>
    <row r="214" spans="1:5" x14ac:dyDescent="0.25">
      <c r="A214" s="2">
        <v>1813</v>
      </c>
      <c r="B214" s="2">
        <v>47</v>
      </c>
      <c r="C214" s="8">
        <v>45934</v>
      </c>
      <c r="D214" s="2" t="s">
        <v>19</v>
      </c>
      <c r="E214" s="2" t="s">
        <v>14</v>
      </c>
    </row>
    <row r="215" spans="1:5" x14ac:dyDescent="0.25">
      <c r="A215" s="2">
        <v>1056</v>
      </c>
      <c r="B215" s="2">
        <v>27</v>
      </c>
      <c r="C215" s="8">
        <v>45815</v>
      </c>
      <c r="D215" s="2" t="s">
        <v>12</v>
      </c>
      <c r="E215" s="2" t="s">
        <v>18</v>
      </c>
    </row>
    <row r="216" spans="1:5" x14ac:dyDescent="0.25">
      <c r="A216" s="2">
        <v>947</v>
      </c>
      <c r="B216" s="2">
        <v>23</v>
      </c>
      <c r="C216" s="8">
        <v>45789</v>
      </c>
      <c r="D216" s="2" t="s">
        <v>19</v>
      </c>
      <c r="E216" s="2" t="s">
        <v>16</v>
      </c>
    </row>
    <row r="217" spans="1:5" x14ac:dyDescent="0.25">
      <c r="A217" s="2">
        <v>568</v>
      </c>
      <c r="B217" s="2">
        <v>13</v>
      </c>
      <c r="C217" s="8">
        <v>45721</v>
      </c>
      <c r="D217" s="2" t="s">
        <v>12</v>
      </c>
      <c r="E217" s="2" t="s">
        <v>16</v>
      </c>
    </row>
    <row r="218" spans="1:5" x14ac:dyDescent="0.25">
      <c r="A218" s="2">
        <v>1058</v>
      </c>
      <c r="B218" s="2">
        <v>27</v>
      </c>
      <c r="C218" s="8">
        <v>45835</v>
      </c>
      <c r="D218" s="2" t="s">
        <v>12</v>
      </c>
      <c r="E218" s="2" t="s">
        <v>14</v>
      </c>
    </row>
    <row r="219" spans="1:5" x14ac:dyDescent="0.25">
      <c r="A219" s="2">
        <v>1194</v>
      </c>
      <c r="B219" s="2">
        <v>30</v>
      </c>
      <c r="C219" s="8">
        <v>45816</v>
      </c>
      <c r="D219" s="2" t="s">
        <v>15</v>
      </c>
      <c r="E219" s="2" t="s">
        <v>13</v>
      </c>
    </row>
    <row r="220" spans="1:5" x14ac:dyDescent="0.25">
      <c r="A220" s="2">
        <v>429</v>
      </c>
      <c r="B220" s="2">
        <v>10</v>
      </c>
      <c r="C220" s="8">
        <v>45712</v>
      </c>
      <c r="D220" s="2" t="s">
        <v>12</v>
      </c>
      <c r="E220" s="2" t="s">
        <v>16</v>
      </c>
    </row>
    <row r="221" spans="1:5" x14ac:dyDescent="0.25">
      <c r="A221" s="2">
        <v>275</v>
      </c>
      <c r="B221" s="2">
        <v>7</v>
      </c>
      <c r="C221" s="8">
        <v>45703</v>
      </c>
      <c r="D221" s="2" t="s">
        <v>12</v>
      </c>
      <c r="E221" s="2" t="s">
        <v>18</v>
      </c>
    </row>
    <row r="222" spans="1:5" x14ac:dyDescent="0.25">
      <c r="A222" s="2">
        <v>730</v>
      </c>
      <c r="B222" s="2">
        <v>18</v>
      </c>
      <c r="C222" s="8">
        <v>45771</v>
      </c>
      <c r="D222" s="2" t="s">
        <v>12</v>
      </c>
      <c r="E222" s="2" t="s">
        <v>18</v>
      </c>
    </row>
    <row r="223" spans="1:5" x14ac:dyDescent="0.25">
      <c r="A223" s="2">
        <v>373</v>
      </c>
      <c r="B223" s="2">
        <v>8</v>
      </c>
      <c r="C223" s="8">
        <v>45704</v>
      </c>
      <c r="D223" s="2" t="s">
        <v>20</v>
      </c>
      <c r="E223" s="2" t="s">
        <v>13</v>
      </c>
    </row>
    <row r="224" spans="1:5" x14ac:dyDescent="0.25">
      <c r="A224" s="2">
        <v>1472</v>
      </c>
      <c r="B224" s="2">
        <v>38</v>
      </c>
      <c r="C224" s="8">
        <v>45895</v>
      </c>
      <c r="D224" s="2" t="s">
        <v>12</v>
      </c>
      <c r="E224" s="2" t="s">
        <v>18</v>
      </c>
    </row>
    <row r="225" spans="1:5" x14ac:dyDescent="0.25">
      <c r="A225" s="2">
        <v>1832</v>
      </c>
      <c r="B225" s="2">
        <v>47</v>
      </c>
      <c r="C225" s="8">
        <v>45818</v>
      </c>
      <c r="D225" s="2" t="s">
        <v>12</v>
      </c>
      <c r="E225" s="2" t="s">
        <v>13</v>
      </c>
    </row>
    <row r="226" spans="1:5" x14ac:dyDescent="0.25">
      <c r="A226" s="2">
        <v>1135</v>
      </c>
      <c r="B226" s="2">
        <v>28</v>
      </c>
      <c r="C226" s="8">
        <v>45836</v>
      </c>
      <c r="D226" s="2" t="s">
        <v>12</v>
      </c>
      <c r="E226" s="2" t="s">
        <v>13</v>
      </c>
    </row>
    <row r="227" spans="1:5" x14ac:dyDescent="0.25">
      <c r="A227" s="2">
        <v>605</v>
      </c>
      <c r="B227" s="2">
        <v>14</v>
      </c>
      <c r="C227" s="8">
        <v>45740</v>
      </c>
      <c r="D227" s="2" t="s">
        <v>12</v>
      </c>
      <c r="E227" s="2" t="s">
        <v>18</v>
      </c>
    </row>
    <row r="228" spans="1:5" x14ac:dyDescent="0.25">
      <c r="A228" s="2">
        <v>1246</v>
      </c>
      <c r="B228" s="2">
        <v>32</v>
      </c>
      <c r="C228" s="8">
        <v>45854</v>
      </c>
      <c r="D228" s="2" t="s">
        <v>12</v>
      </c>
      <c r="E228" s="2" t="s">
        <v>18</v>
      </c>
    </row>
    <row r="229" spans="1:5" x14ac:dyDescent="0.25">
      <c r="A229" s="2">
        <v>1035</v>
      </c>
      <c r="B229" s="2">
        <v>27</v>
      </c>
      <c r="C229" s="8">
        <v>45828</v>
      </c>
      <c r="D229" s="2" t="s">
        <v>20</v>
      </c>
      <c r="E229" s="2" t="s">
        <v>18</v>
      </c>
    </row>
    <row r="230" spans="1:5" x14ac:dyDescent="0.25">
      <c r="A230" s="2">
        <v>148</v>
      </c>
      <c r="B230" s="2">
        <v>3</v>
      </c>
      <c r="C230" s="8">
        <v>45680</v>
      </c>
      <c r="D230" s="2" t="s">
        <v>19</v>
      </c>
      <c r="E230" s="2" t="s">
        <v>16</v>
      </c>
    </row>
    <row r="231" spans="1:5" x14ac:dyDescent="0.25">
      <c r="A231" s="2">
        <v>72</v>
      </c>
      <c r="B231" s="2">
        <v>2</v>
      </c>
      <c r="C231" s="8">
        <v>45663</v>
      </c>
      <c r="D231" s="2" t="s">
        <v>15</v>
      </c>
      <c r="E231" s="2" t="s">
        <v>18</v>
      </c>
    </row>
    <row r="232" spans="1:5" x14ac:dyDescent="0.25">
      <c r="A232" s="2">
        <v>527</v>
      </c>
      <c r="B232" s="2">
        <v>13</v>
      </c>
      <c r="C232" s="8">
        <v>45734</v>
      </c>
      <c r="D232" s="2" t="s">
        <v>12</v>
      </c>
      <c r="E232" s="2" t="s">
        <v>18</v>
      </c>
    </row>
    <row r="233" spans="1:5" x14ac:dyDescent="0.25">
      <c r="A233" s="2">
        <v>2072</v>
      </c>
      <c r="B233" s="2">
        <v>56</v>
      </c>
      <c r="C233" s="8">
        <v>45992</v>
      </c>
      <c r="D233" s="2" t="s">
        <v>15</v>
      </c>
      <c r="E233" s="2" t="s">
        <v>16</v>
      </c>
    </row>
    <row r="234" spans="1:5" x14ac:dyDescent="0.25">
      <c r="A234" s="2">
        <v>1758</v>
      </c>
      <c r="B234" s="2">
        <v>45</v>
      </c>
      <c r="C234" s="8">
        <v>45926</v>
      </c>
      <c r="D234" s="2" t="s">
        <v>20</v>
      </c>
      <c r="E234" s="2" t="s">
        <v>13</v>
      </c>
    </row>
    <row r="235" spans="1:5" x14ac:dyDescent="0.25">
      <c r="A235" s="2">
        <v>188</v>
      </c>
      <c r="B235" s="2">
        <v>4</v>
      </c>
      <c r="C235" s="8">
        <v>45670</v>
      </c>
      <c r="D235" s="2" t="s">
        <v>15</v>
      </c>
      <c r="E235" s="2" t="s">
        <v>16</v>
      </c>
    </row>
    <row r="236" spans="1:5" x14ac:dyDescent="0.25">
      <c r="A236" s="2">
        <v>832</v>
      </c>
      <c r="B236" s="2">
        <v>21</v>
      </c>
      <c r="C236" s="8">
        <v>45800</v>
      </c>
      <c r="D236" s="2" t="s">
        <v>20</v>
      </c>
      <c r="E236" s="2" t="s">
        <v>18</v>
      </c>
    </row>
    <row r="237" spans="1:5" x14ac:dyDescent="0.25">
      <c r="A237" s="2">
        <v>411</v>
      </c>
      <c r="B237" s="2">
        <v>9</v>
      </c>
      <c r="C237" s="8">
        <v>45694</v>
      </c>
      <c r="D237" s="2" t="s">
        <v>12</v>
      </c>
      <c r="E237" s="2" t="s">
        <v>16</v>
      </c>
    </row>
    <row r="238" spans="1:5" x14ac:dyDescent="0.25">
      <c r="A238" s="2">
        <v>331</v>
      </c>
      <c r="B238" s="2">
        <v>8</v>
      </c>
      <c r="C238" s="8">
        <v>45716</v>
      </c>
      <c r="D238" s="2" t="s">
        <v>19</v>
      </c>
      <c r="E238" s="2" t="s">
        <v>13</v>
      </c>
    </row>
    <row r="239" spans="1:5" x14ac:dyDescent="0.25">
      <c r="A239" s="2">
        <v>1515</v>
      </c>
      <c r="B239" s="2">
        <v>38</v>
      </c>
      <c r="C239" s="8">
        <v>45882</v>
      </c>
      <c r="D239" s="2" t="s">
        <v>15</v>
      </c>
      <c r="E239" s="2" t="s">
        <v>18</v>
      </c>
    </row>
    <row r="240" spans="1:5" x14ac:dyDescent="0.25">
      <c r="A240" s="2">
        <v>1934</v>
      </c>
      <c r="B240" s="2">
        <v>50</v>
      </c>
      <c r="C240" s="8">
        <v>45933</v>
      </c>
      <c r="D240" s="2" t="s">
        <v>20</v>
      </c>
      <c r="E240" s="2" t="s">
        <v>16</v>
      </c>
    </row>
    <row r="241" spans="1:5" x14ac:dyDescent="0.25">
      <c r="A241" s="2">
        <v>2103</v>
      </c>
      <c r="B241" s="2">
        <v>57</v>
      </c>
      <c r="C241" s="8">
        <v>46007</v>
      </c>
      <c r="D241" s="2" t="s">
        <v>15</v>
      </c>
      <c r="E241" s="2" t="s">
        <v>14</v>
      </c>
    </row>
    <row r="242" spans="1:5" x14ac:dyDescent="0.25">
      <c r="A242" s="2">
        <v>1352</v>
      </c>
      <c r="B242" s="2">
        <v>33</v>
      </c>
      <c r="C242" s="8">
        <v>45841</v>
      </c>
      <c r="D242" s="2" t="s">
        <v>20</v>
      </c>
      <c r="E242" s="2" t="s">
        <v>13</v>
      </c>
    </row>
    <row r="243" spans="1:5" x14ac:dyDescent="0.25">
      <c r="A243" s="2">
        <v>82</v>
      </c>
      <c r="B243" s="2">
        <v>3</v>
      </c>
      <c r="C243" s="8">
        <v>45672</v>
      </c>
      <c r="D243" s="2" t="s">
        <v>12</v>
      </c>
      <c r="E243" s="2" t="s">
        <v>16</v>
      </c>
    </row>
    <row r="244" spans="1:5" x14ac:dyDescent="0.25">
      <c r="A244" s="2">
        <v>911</v>
      </c>
      <c r="B244" s="2">
        <v>23</v>
      </c>
      <c r="C244" s="8">
        <v>45797</v>
      </c>
      <c r="D244" s="2" t="s">
        <v>15</v>
      </c>
      <c r="E244" s="2" t="s">
        <v>16</v>
      </c>
    </row>
    <row r="245" spans="1:5" x14ac:dyDescent="0.25">
      <c r="A245" s="2">
        <v>1036</v>
      </c>
      <c r="B245" s="2">
        <v>27</v>
      </c>
      <c r="C245" s="8">
        <v>45828</v>
      </c>
      <c r="D245" s="2" t="s">
        <v>19</v>
      </c>
      <c r="E245" s="2" t="s">
        <v>18</v>
      </c>
    </row>
    <row r="246" spans="1:5" x14ac:dyDescent="0.25">
      <c r="A246" s="2">
        <v>1690</v>
      </c>
      <c r="B246" s="2">
        <v>43</v>
      </c>
      <c r="C246" s="8">
        <v>45923</v>
      </c>
      <c r="D246" s="2" t="s">
        <v>20</v>
      </c>
      <c r="E246" s="2" t="s">
        <v>16</v>
      </c>
    </row>
    <row r="247" spans="1:5" x14ac:dyDescent="0.25">
      <c r="A247" s="2">
        <v>969</v>
      </c>
      <c r="B247" s="2">
        <v>24</v>
      </c>
      <c r="C247" s="8">
        <v>45793</v>
      </c>
      <c r="D247" s="2" t="s">
        <v>12</v>
      </c>
      <c r="E247" s="2" t="s">
        <v>16</v>
      </c>
    </row>
    <row r="248" spans="1:5" x14ac:dyDescent="0.25">
      <c r="A248" s="2">
        <v>1538</v>
      </c>
      <c r="B248" s="2">
        <v>39</v>
      </c>
      <c r="C248" s="8">
        <v>45894</v>
      </c>
      <c r="D248" s="2" t="s">
        <v>12</v>
      </c>
      <c r="E248" s="2" t="s">
        <v>14</v>
      </c>
    </row>
    <row r="249" spans="1:5" x14ac:dyDescent="0.25">
      <c r="A249" s="2">
        <v>294</v>
      </c>
      <c r="B249" s="2">
        <v>7</v>
      </c>
      <c r="C249" s="8">
        <v>45709</v>
      </c>
      <c r="D249" s="2" t="s">
        <v>20</v>
      </c>
      <c r="E249" s="2" t="s">
        <v>16</v>
      </c>
    </row>
    <row r="250" spans="1:5" x14ac:dyDescent="0.25">
      <c r="A250" s="2">
        <v>2114</v>
      </c>
      <c r="B250" s="2">
        <v>58</v>
      </c>
      <c r="C250" s="8">
        <v>45997</v>
      </c>
      <c r="D250" s="2" t="s">
        <v>19</v>
      </c>
      <c r="E250" s="2" t="s">
        <v>16</v>
      </c>
    </row>
    <row r="251" spans="1:5" x14ac:dyDescent="0.25">
      <c r="A251" s="2">
        <v>773</v>
      </c>
      <c r="B251" s="2">
        <v>18</v>
      </c>
      <c r="C251" s="8">
        <v>45749</v>
      </c>
      <c r="D251" s="2" t="s">
        <v>20</v>
      </c>
      <c r="E251" s="2" t="s">
        <v>13</v>
      </c>
    </row>
    <row r="252" spans="1:5" x14ac:dyDescent="0.25">
      <c r="A252" s="2">
        <v>731</v>
      </c>
      <c r="B252" s="2">
        <v>18</v>
      </c>
      <c r="C252" s="8">
        <v>45763</v>
      </c>
      <c r="D252" s="2" t="s">
        <v>12</v>
      </c>
      <c r="E252" s="2" t="s">
        <v>14</v>
      </c>
    </row>
    <row r="253" spans="1:5" x14ac:dyDescent="0.25">
      <c r="A253" s="2">
        <v>1043</v>
      </c>
      <c r="B253" s="2">
        <v>27</v>
      </c>
      <c r="C253" s="8">
        <v>45827</v>
      </c>
      <c r="D253" s="2" t="s">
        <v>12</v>
      </c>
      <c r="E253" s="2" t="s">
        <v>16</v>
      </c>
    </row>
    <row r="254" spans="1:5" x14ac:dyDescent="0.25">
      <c r="A254" s="2">
        <v>1240</v>
      </c>
      <c r="B254" s="2">
        <v>32</v>
      </c>
      <c r="C254" s="8">
        <v>45855</v>
      </c>
      <c r="D254" s="2" t="s">
        <v>20</v>
      </c>
      <c r="E254" s="2" t="s">
        <v>18</v>
      </c>
    </row>
    <row r="255" spans="1:5" x14ac:dyDescent="0.25">
      <c r="A255" s="2">
        <v>708</v>
      </c>
      <c r="B255" s="2">
        <v>18</v>
      </c>
      <c r="C255" s="8">
        <v>45761</v>
      </c>
      <c r="D255" s="2" t="s">
        <v>12</v>
      </c>
      <c r="E255" s="2" t="s">
        <v>18</v>
      </c>
    </row>
    <row r="256" spans="1:5" x14ac:dyDescent="0.25">
      <c r="A256" s="2">
        <v>1226</v>
      </c>
      <c r="B256" s="2">
        <v>32</v>
      </c>
      <c r="C256" s="8">
        <v>45998</v>
      </c>
      <c r="D256" s="2" t="s">
        <v>20</v>
      </c>
      <c r="E256" s="2" t="s">
        <v>13</v>
      </c>
    </row>
    <row r="257" spans="1:5" x14ac:dyDescent="0.25">
      <c r="A257" s="2">
        <v>1820</v>
      </c>
      <c r="B257" s="2">
        <v>47</v>
      </c>
      <c r="C257" s="8">
        <v>45936</v>
      </c>
      <c r="D257" s="2" t="s">
        <v>12</v>
      </c>
      <c r="E257" s="2" t="s">
        <v>18</v>
      </c>
    </row>
    <row r="258" spans="1:5" x14ac:dyDescent="0.25">
      <c r="A258" s="2">
        <v>1156</v>
      </c>
      <c r="B258" s="2">
        <v>29</v>
      </c>
      <c r="C258" s="8">
        <v>45831</v>
      </c>
      <c r="D258" s="2" t="s">
        <v>20</v>
      </c>
      <c r="E258" s="2" t="s">
        <v>16</v>
      </c>
    </row>
    <row r="259" spans="1:5" x14ac:dyDescent="0.25">
      <c r="A259" s="2">
        <v>153</v>
      </c>
      <c r="B259" s="2">
        <v>3</v>
      </c>
      <c r="C259" s="8">
        <v>45663</v>
      </c>
      <c r="D259" s="2" t="s">
        <v>15</v>
      </c>
      <c r="E259" s="2" t="s">
        <v>18</v>
      </c>
    </row>
    <row r="260" spans="1:5" x14ac:dyDescent="0.25">
      <c r="A260" s="2">
        <v>1780</v>
      </c>
      <c r="B260" s="2">
        <v>46</v>
      </c>
      <c r="C260" s="8">
        <v>45955</v>
      </c>
      <c r="D260" s="2" t="s">
        <v>15</v>
      </c>
      <c r="E260" s="2" t="s">
        <v>14</v>
      </c>
    </row>
    <row r="261" spans="1:5" x14ac:dyDescent="0.25">
      <c r="A261" s="2">
        <v>50</v>
      </c>
      <c r="B261" s="2">
        <v>2</v>
      </c>
      <c r="C261" s="8">
        <v>45677</v>
      </c>
      <c r="D261" s="2" t="s">
        <v>12</v>
      </c>
      <c r="E261" s="2" t="s">
        <v>16</v>
      </c>
    </row>
    <row r="262" spans="1:5" x14ac:dyDescent="0.25">
      <c r="A262" s="2">
        <v>1281</v>
      </c>
      <c r="B262" s="2">
        <v>33</v>
      </c>
      <c r="C262" s="8">
        <v>45853</v>
      </c>
      <c r="D262" s="2" t="s">
        <v>19</v>
      </c>
      <c r="E262" s="2" t="s">
        <v>18</v>
      </c>
    </row>
    <row r="263" spans="1:5" x14ac:dyDescent="0.25">
      <c r="A263" s="2">
        <v>1045</v>
      </c>
      <c r="B263" s="2">
        <v>27</v>
      </c>
      <c r="C263" s="8">
        <v>45823</v>
      </c>
      <c r="D263" s="2" t="s">
        <v>15</v>
      </c>
      <c r="E263" s="2" t="s">
        <v>14</v>
      </c>
    </row>
    <row r="264" spans="1:5" x14ac:dyDescent="0.25">
      <c r="A264" s="2">
        <v>91</v>
      </c>
      <c r="B264" s="2">
        <v>3</v>
      </c>
      <c r="C264" s="8">
        <v>45671</v>
      </c>
      <c r="D264" s="2" t="s">
        <v>12</v>
      </c>
      <c r="E264" s="2" t="s">
        <v>14</v>
      </c>
    </row>
    <row r="265" spans="1:5" x14ac:dyDescent="0.25">
      <c r="A265" s="2">
        <v>1235</v>
      </c>
      <c r="B265" s="2">
        <v>32</v>
      </c>
      <c r="C265" s="8">
        <v>45840</v>
      </c>
      <c r="D265" s="2" t="s">
        <v>12</v>
      </c>
      <c r="E265" s="2" t="s">
        <v>18</v>
      </c>
    </row>
    <row r="266" spans="1:5" x14ac:dyDescent="0.25">
      <c r="A266" s="2">
        <v>165</v>
      </c>
      <c r="B266" s="2">
        <v>3</v>
      </c>
      <c r="C266" s="8">
        <v>45666</v>
      </c>
      <c r="D266" s="2" t="s">
        <v>15</v>
      </c>
      <c r="E266" s="2" t="s">
        <v>13</v>
      </c>
    </row>
    <row r="267" spans="1:5" x14ac:dyDescent="0.25">
      <c r="A267" s="2">
        <v>787</v>
      </c>
      <c r="B267" s="2">
        <v>19</v>
      </c>
      <c r="C267" s="8">
        <v>45771</v>
      </c>
      <c r="D267" s="2" t="s">
        <v>15</v>
      </c>
      <c r="E267" s="2" t="s">
        <v>16</v>
      </c>
    </row>
    <row r="268" spans="1:5" x14ac:dyDescent="0.25">
      <c r="A268" s="2">
        <v>500</v>
      </c>
      <c r="B268" s="2">
        <v>12</v>
      </c>
      <c r="C268" s="8" t="s">
        <v>25</v>
      </c>
      <c r="D268" s="2" t="s">
        <v>12</v>
      </c>
      <c r="E268" s="2" t="s">
        <v>13</v>
      </c>
    </row>
    <row r="269" spans="1:5" x14ac:dyDescent="0.25">
      <c r="A269" s="2">
        <v>794</v>
      </c>
      <c r="B269" s="2">
        <v>19</v>
      </c>
      <c r="C269" s="8">
        <v>45755</v>
      </c>
      <c r="D269" s="2" t="s">
        <v>20</v>
      </c>
      <c r="E269" s="2" t="s">
        <v>13</v>
      </c>
    </row>
    <row r="270" spans="1:5" x14ac:dyDescent="0.25">
      <c r="A270" s="2">
        <v>4</v>
      </c>
      <c r="B270" s="2">
        <v>1</v>
      </c>
      <c r="C270" s="8">
        <v>45670</v>
      </c>
      <c r="D270" s="2" t="s">
        <v>12</v>
      </c>
      <c r="E270" s="2" t="s">
        <v>13</v>
      </c>
    </row>
    <row r="271" spans="1:5" x14ac:dyDescent="0.25">
      <c r="A271" s="2">
        <v>78</v>
      </c>
      <c r="B271" s="2">
        <v>2</v>
      </c>
      <c r="C271" s="8">
        <v>45676</v>
      </c>
      <c r="D271" s="2" t="s">
        <v>20</v>
      </c>
      <c r="E271" s="2" t="s">
        <v>18</v>
      </c>
    </row>
    <row r="272" spans="1:5" x14ac:dyDescent="0.25">
      <c r="A272" s="2">
        <v>700</v>
      </c>
      <c r="B272" s="2">
        <v>18</v>
      </c>
      <c r="C272" s="8">
        <v>45757</v>
      </c>
      <c r="D272" s="2" t="s">
        <v>15</v>
      </c>
      <c r="E272" s="2" t="s">
        <v>18</v>
      </c>
    </row>
    <row r="273" spans="1:5" x14ac:dyDescent="0.25">
      <c r="A273" s="2">
        <v>551</v>
      </c>
      <c r="B273" s="2">
        <v>13</v>
      </c>
      <c r="C273" s="8">
        <v>45731</v>
      </c>
      <c r="D273" s="2" t="s">
        <v>12</v>
      </c>
      <c r="E273" s="2" t="s">
        <v>18</v>
      </c>
    </row>
    <row r="274" spans="1:5" x14ac:dyDescent="0.25">
      <c r="A274" s="2">
        <v>2050</v>
      </c>
      <c r="B274" s="2">
        <v>54</v>
      </c>
      <c r="C274" s="8">
        <v>45984</v>
      </c>
      <c r="D274" s="2" t="s">
        <v>12</v>
      </c>
      <c r="E274" s="2" t="s">
        <v>13</v>
      </c>
    </row>
    <row r="275" spans="1:5" x14ac:dyDescent="0.25">
      <c r="A275" s="2">
        <v>777</v>
      </c>
      <c r="B275" s="2">
        <v>18</v>
      </c>
      <c r="C275" s="8">
        <v>45762</v>
      </c>
      <c r="D275" s="2" t="s">
        <v>20</v>
      </c>
      <c r="E275" s="2" t="s">
        <v>14</v>
      </c>
    </row>
    <row r="276" spans="1:5" x14ac:dyDescent="0.25">
      <c r="A276" s="2">
        <v>1506</v>
      </c>
      <c r="B276" s="2">
        <v>38</v>
      </c>
      <c r="C276" s="8">
        <v>45889</v>
      </c>
      <c r="D276" s="2" t="s">
        <v>12</v>
      </c>
      <c r="E276" s="2" t="s">
        <v>18</v>
      </c>
    </row>
    <row r="277" spans="1:5" x14ac:dyDescent="0.25">
      <c r="A277" s="2">
        <v>740</v>
      </c>
      <c r="B277" s="2">
        <v>18</v>
      </c>
      <c r="C277" s="8">
        <v>45775</v>
      </c>
      <c r="D277" s="2" t="s">
        <v>19</v>
      </c>
      <c r="E277" s="2" t="s">
        <v>18</v>
      </c>
    </row>
    <row r="278" spans="1:5" x14ac:dyDescent="0.25">
      <c r="A278" s="2">
        <v>1885</v>
      </c>
      <c r="B278" s="2">
        <v>48</v>
      </c>
      <c r="C278" s="8">
        <v>45946</v>
      </c>
      <c r="D278" s="2" t="s">
        <v>17</v>
      </c>
      <c r="E278" s="2" t="s">
        <v>18</v>
      </c>
    </row>
    <row r="279" spans="1:5" x14ac:dyDescent="0.25">
      <c r="A279" s="2">
        <v>695</v>
      </c>
      <c r="B279" s="2">
        <v>17</v>
      </c>
      <c r="C279" s="8">
        <v>45774</v>
      </c>
      <c r="D279" s="2" t="s">
        <v>20</v>
      </c>
      <c r="E279" s="2" t="s">
        <v>16</v>
      </c>
    </row>
    <row r="280" spans="1:5" x14ac:dyDescent="0.25">
      <c r="A280" s="2">
        <v>321</v>
      </c>
      <c r="B280" s="2">
        <v>8</v>
      </c>
      <c r="C280" s="8">
        <v>45698</v>
      </c>
      <c r="D280" s="2" t="s">
        <v>12</v>
      </c>
      <c r="E280" s="2" t="s">
        <v>18</v>
      </c>
    </row>
    <row r="281" spans="1:5" x14ac:dyDescent="0.25">
      <c r="A281" s="2">
        <v>1178</v>
      </c>
      <c r="B281" s="2">
        <v>30</v>
      </c>
      <c r="C281" s="8">
        <v>45810</v>
      </c>
      <c r="D281" s="2" t="s">
        <v>12</v>
      </c>
      <c r="E281" s="2" t="s">
        <v>18</v>
      </c>
    </row>
    <row r="282" spans="1:5" x14ac:dyDescent="0.25">
      <c r="A282" s="2">
        <v>965</v>
      </c>
      <c r="B282" s="2">
        <v>24</v>
      </c>
      <c r="C282" s="8">
        <v>45792</v>
      </c>
      <c r="D282" s="2" t="s">
        <v>19</v>
      </c>
      <c r="E282" s="2" t="s">
        <v>13</v>
      </c>
    </row>
    <row r="283" spans="1:5" x14ac:dyDescent="0.25">
      <c r="A283" s="2">
        <v>1605</v>
      </c>
      <c r="B283" s="2">
        <v>42</v>
      </c>
      <c r="C283" s="8">
        <v>45902</v>
      </c>
      <c r="D283" s="2" t="s">
        <v>12</v>
      </c>
      <c r="E283" s="2" t="s">
        <v>18</v>
      </c>
    </row>
    <row r="284" spans="1:5" x14ac:dyDescent="0.25">
      <c r="A284" s="2">
        <v>1316</v>
      </c>
      <c r="B284" s="2">
        <v>33</v>
      </c>
      <c r="C284" s="8">
        <v>45849</v>
      </c>
      <c r="D284" s="2" t="s">
        <v>12</v>
      </c>
      <c r="E284" s="2" t="s">
        <v>13</v>
      </c>
    </row>
    <row r="285" spans="1:5" x14ac:dyDescent="0.25">
      <c r="A285" s="2">
        <v>1146</v>
      </c>
      <c r="B285" s="2">
        <v>28</v>
      </c>
      <c r="C285" s="8">
        <v>45827</v>
      </c>
      <c r="D285" s="2" t="s">
        <v>19</v>
      </c>
      <c r="E285" s="2" t="s">
        <v>18</v>
      </c>
    </row>
    <row r="286" spans="1:5" x14ac:dyDescent="0.25">
      <c r="A286" s="2">
        <v>2030</v>
      </c>
      <c r="B286" s="2">
        <v>53</v>
      </c>
      <c r="C286" s="8">
        <v>45977</v>
      </c>
      <c r="D286" s="2" t="s">
        <v>20</v>
      </c>
      <c r="E286" s="2" t="s">
        <v>13</v>
      </c>
    </row>
    <row r="287" spans="1:5" x14ac:dyDescent="0.25">
      <c r="A287" s="2">
        <v>1916</v>
      </c>
      <c r="B287" s="2">
        <v>49</v>
      </c>
      <c r="C287" s="8">
        <v>45956</v>
      </c>
      <c r="D287" s="2" t="s">
        <v>20</v>
      </c>
      <c r="E287" s="2" t="s">
        <v>13</v>
      </c>
    </row>
    <row r="288" spans="1:5" x14ac:dyDescent="0.25">
      <c r="A288" s="2">
        <v>379</v>
      </c>
      <c r="B288" s="2">
        <v>8</v>
      </c>
      <c r="C288" s="8">
        <v>45698</v>
      </c>
      <c r="D288" s="2" t="s">
        <v>15</v>
      </c>
      <c r="E288" s="2" t="s">
        <v>13</v>
      </c>
    </row>
    <row r="289" spans="1:5" x14ac:dyDescent="0.25">
      <c r="A289" s="2">
        <v>665</v>
      </c>
      <c r="B289" s="2">
        <v>17</v>
      </c>
      <c r="C289" s="8">
        <v>45758</v>
      </c>
      <c r="D289" s="2" t="s">
        <v>15</v>
      </c>
      <c r="E289" s="2" t="s">
        <v>13</v>
      </c>
    </row>
    <row r="290" spans="1:5" x14ac:dyDescent="0.25">
      <c r="A290" s="2">
        <v>663</v>
      </c>
      <c r="B290" s="2">
        <v>17</v>
      </c>
      <c r="C290" s="8">
        <v>45753</v>
      </c>
      <c r="D290" s="2" t="s">
        <v>15</v>
      </c>
      <c r="E290" s="2" t="s">
        <v>18</v>
      </c>
    </row>
    <row r="291" spans="1:5" x14ac:dyDescent="0.25">
      <c r="A291" s="2">
        <v>1145</v>
      </c>
      <c r="B291" s="2">
        <v>28</v>
      </c>
      <c r="C291" s="8">
        <v>45830</v>
      </c>
      <c r="D291" s="2" t="s">
        <v>12</v>
      </c>
      <c r="E291" s="2" t="s">
        <v>16</v>
      </c>
    </row>
    <row r="292" spans="1:5" x14ac:dyDescent="0.25">
      <c r="A292" s="2">
        <v>725</v>
      </c>
      <c r="B292" s="2">
        <v>18</v>
      </c>
      <c r="C292" s="8">
        <v>45756</v>
      </c>
      <c r="D292" s="2" t="s">
        <v>12</v>
      </c>
      <c r="E292" s="2" t="s">
        <v>16</v>
      </c>
    </row>
    <row r="293" spans="1:5" x14ac:dyDescent="0.25">
      <c r="A293" s="2">
        <v>2036</v>
      </c>
      <c r="B293" s="2">
        <v>53</v>
      </c>
      <c r="C293" s="8">
        <v>45965</v>
      </c>
      <c r="D293" s="2" t="s">
        <v>12</v>
      </c>
      <c r="E293" s="2" t="s">
        <v>18</v>
      </c>
    </row>
    <row r="294" spans="1:5" x14ac:dyDescent="0.25">
      <c r="A294" s="2">
        <v>1672</v>
      </c>
      <c r="B294" s="2">
        <v>43</v>
      </c>
      <c r="C294" s="8">
        <v>45919</v>
      </c>
      <c r="D294" s="2" t="s">
        <v>20</v>
      </c>
      <c r="E294" s="2" t="s">
        <v>18</v>
      </c>
    </row>
    <row r="295" spans="1:5" x14ac:dyDescent="0.25">
      <c r="A295" s="2">
        <v>1365</v>
      </c>
      <c r="B295" s="2">
        <v>34</v>
      </c>
      <c r="C295" s="8">
        <v>45850</v>
      </c>
      <c r="D295" s="2" t="s">
        <v>20</v>
      </c>
      <c r="E295" s="2" t="s">
        <v>13</v>
      </c>
    </row>
    <row r="296" spans="1:5" x14ac:dyDescent="0.25">
      <c r="A296" s="2">
        <v>1984</v>
      </c>
      <c r="B296" s="2">
        <v>52</v>
      </c>
      <c r="C296" s="8">
        <v>45981</v>
      </c>
      <c r="D296" s="2" t="s">
        <v>20</v>
      </c>
      <c r="E296" s="2" t="s">
        <v>18</v>
      </c>
    </row>
    <row r="297" spans="1:5" x14ac:dyDescent="0.25">
      <c r="A297" s="2">
        <v>272</v>
      </c>
      <c r="B297" s="2">
        <v>7</v>
      </c>
      <c r="C297" s="8">
        <v>45713</v>
      </c>
      <c r="D297" s="2" t="s">
        <v>20</v>
      </c>
      <c r="E297" s="2" t="s">
        <v>18</v>
      </c>
    </row>
    <row r="298" spans="1:5" x14ac:dyDescent="0.25">
      <c r="A298" s="2">
        <v>1784</v>
      </c>
      <c r="B298" s="2">
        <v>46</v>
      </c>
      <c r="C298" s="8">
        <v>45955</v>
      </c>
      <c r="D298" s="2" t="s">
        <v>20</v>
      </c>
      <c r="E298" s="2" t="s">
        <v>14</v>
      </c>
    </row>
    <row r="299" spans="1:5" x14ac:dyDescent="0.25">
      <c r="A299" s="2">
        <v>68</v>
      </c>
      <c r="B299" s="2">
        <v>2</v>
      </c>
      <c r="C299" s="8">
        <v>45682</v>
      </c>
      <c r="D299" s="2" t="s">
        <v>20</v>
      </c>
      <c r="E299" s="2" t="s">
        <v>14</v>
      </c>
    </row>
    <row r="300" spans="1:5" x14ac:dyDescent="0.25">
      <c r="A300" s="2">
        <v>514</v>
      </c>
      <c r="B300" s="2">
        <v>12</v>
      </c>
      <c r="C300" s="8">
        <v>45719</v>
      </c>
      <c r="D300" s="2" t="s">
        <v>15</v>
      </c>
      <c r="E300" s="2" t="s">
        <v>13</v>
      </c>
    </row>
    <row r="301" spans="1:5" x14ac:dyDescent="0.25">
      <c r="A301" s="2">
        <v>328</v>
      </c>
      <c r="B301" s="2">
        <v>8</v>
      </c>
      <c r="C301" s="8">
        <v>45699</v>
      </c>
      <c r="D301" s="2" t="s">
        <v>20</v>
      </c>
      <c r="E301" s="2" t="s">
        <v>18</v>
      </c>
    </row>
    <row r="302" spans="1:5" x14ac:dyDescent="0.25">
      <c r="A302" s="2">
        <v>1852</v>
      </c>
      <c r="B302" s="2">
        <v>48</v>
      </c>
      <c r="C302" s="8">
        <v>45937</v>
      </c>
      <c r="D302" s="2" t="s">
        <v>12</v>
      </c>
      <c r="E302" s="2" t="s">
        <v>16</v>
      </c>
    </row>
    <row r="303" spans="1:5" x14ac:dyDescent="0.25">
      <c r="A303" s="2">
        <v>2054</v>
      </c>
      <c r="B303" s="2">
        <v>54</v>
      </c>
      <c r="C303" s="8">
        <v>45968</v>
      </c>
      <c r="D303" s="2" t="s">
        <v>19</v>
      </c>
      <c r="E303" s="2" t="s">
        <v>16</v>
      </c>
    </row>
    <row r="304" spans="1:5" x14ac:dyDescent="0.25">
      <c r="A304" s="2">
        <v>518</v>
      </c>
      <c r="B304" s="2">
        <v>13</v>
      </c>
      <c r="C304" s="8">
        <v>45729</v>
      </c>
      <c r="D304" s="2" t="s">
        <v>19</v>
      </c>
      <c r="E304" s="2" t="s">
        <v>18</v>
      </c>
    </row>
    <row r="305" spans="1:5" x14ac:dyDescent="0.25">
      <c r="A305" s="2">
        <v>799</v>
      </c>
      <c r="B305" s="2">
        <v>19</v>
      </c>
      <c r="C305" s="8">
        <v>45758</v>
      </c>
      <c r="D305" s="2" t="s">
        <v>19</v>
      </c>
      <c r="E305" s="2" t="s">
        <v>16</v>
      </c>
    </row>
    <row r="306" spans="1:5" x14ac:dyDescent="0.25">
      <c r="A306" s="2">
        <v>1738</v>
      </c>
      <c r="B306" s="2">
        <v>44</v>
      </c>
      <c r="C306" s="8">
        <v>45928</v>
      </c>
      <c r="D306" s="2" t="s">
        <v>15</v>
      </c>
      <c r="E306" s="2" t="s">
        <v>16</v>
      </c>
    </row>
    <row r="307" spans="1:5" x14ac:dyDescent="0.25">
      <c r="A307" s="2">
        <v>1357</v>
      </c>
      <c r="B307" s="2">
        <v>34</v>
      </c>
      <c r="C307" s="8">
        <v>45857</v>
      </c>
      <c r="D307" s="2" t="s">
        <v>12</v>
      </c>
      <c r="E307" s="2" t="s">
        <v>16</v>
      </c>
    </row>
    <row r="308" spans="1:5" x14ac:dyDescent="0.25">
      <c r="A308" s="2">
        <v>1152</v>
      </c>
      <c r="B308" s="2">
        <v>28</v>
      </c>
      <c r="C308" s="8">
        <v>45811</v>
      </c>
      <c r="D308" s="2" t="s">
        <v>12</v>
      </c>
      <c r="E308" s="2" t="s">
        <v>16</v>
      </c>
    </row>
    <row r="309" spans="1:5" x14ac:dyDescent="0.25">
      <c r="A309" s="2">
        <v>1749</v>
      </c>
      <c r="B309" s="2">
        <v>45</v>
      </c>
      <c r="C309" s="8">
        <v>45817</v>
      </c>
      <c r="D309" s="2" t="s">
        <v>15</v>
      </c>
      <c r="E309" s="2" t="s">
        <v>18</v>
      </c>
    </row>
    <row r="310" spans="1:5" x14ac:dyDescent="0.25">
      <c r="A310" s="2">
        <v>390</v>
      </c>
      <c r="B310" s="2">
        <v>9</v>
      </c>
      <c r="C310" s="8" t="s">
        <v>26</v>
      </c>
      <c r="D310" s="2" t="s">
        <v>15</v>
      </c>
      <c r="E310" s="2" t="s">
        <v>14</v>
      </c>
    </row>
    <row r="311" spans="1:5" x14ac:dyDescent="0.25">
      <c r="A311" s="2">
        <v>1132</v>
      </c>
      <c r="B311" s="2">
        <v>28</v>
      </c>
      <c r="C311" s="8">
        <v>45831</v>
      </c>
      <c r="D311" s="2" t="s">
        <v>12</v>
      </c>
      <c r="E311" s="2" t="s">
        <v>16</v>
      </c>
    </row>
    <row r="312" spans="1:5" x14ac:dyDescent="0.25">
      <c r="A312" s="2">
        <v>86</v>
      </c>
      <c r="B312" s="2">
        <v>3</v>
      </c>
      <c r="C312" s="8">
        <v>45673</v>
      </c>
      <c r="D312" s="2" t="s">
        <v>12</v>
      </c>
      <c r="E312" s="2" t="s">
        <v>13</v>
      </c>
    </row>
    <row r="313" spans="1:5" x14ac:dyDescent="0.25">
      <c r="A313" s="2">
        <v>1958</v>
      </c>
      <c r="B313" s="2">
        <v>51</v>
      </c>
      <c r="C313" s="8">
        <v>45970</v>
      </c>
      <c r="D313" s="2" t="s">
        <v>17</v>
      </c>
      <c r="E313" s="2" t="s">
        <v>18</v>
      </c>
    </row>
    <row r="314" spans="1:5" x14ac:dyDescent="0.25">
      <c r="A314" s="2">
        <v>655</v>
      </c>
      <c r="B314" s="2">
        <v>17</v>
      </c>
      <c r="C314" s="8">
        <v>45758</v>
      </c>
      <c r="D314" s="2" t="s">
        <v>19</v>
      </c>
      <c r="E314" s="2" t="s">
        <v>13</v>
      </c>
    </row>
    <row r="315" spans="1:5" x14ac:dyDescent="0.25">
      <c r="A315" s="2">
        <v>1051</v>
      </c>
      <c r="B315" s="2">
        <v>27</v>
      </c>
      <c r="C315" s="8">
        <v>45813</v>
      </c>
      <c r="D315" s="2" t="s">
        <v>20</v>
      </c>
      <c r="E315" s="2" t="s">
        <v>14</v>
      </c>
    </row>
    <row r="316" spans="1:5" x14ac:dyDescent="0.25">
      <c r="A316" s="2">
        <v>1512</v>
      </c>
      <c r="B316" s="2">
        <v>38</v>
      </c>
      <c r="C316" s="8">
        <v>45895</v>
      </c>
      <c r="D316" s="2" t="s">
        <v>12</v>
      </c>
      <c r="E316" s="2" t="s">
        <v>14</v>
      </c>
    </row>
    <row r="317" spans="1:5" x14ac:dyDescent="0.25">
      <c r="A317" s="2">
        <v>487</v>
      </c>
      <c r="B317" s="2">
        <v>12</v>
      </c>
      <c r="C317" s="8" t="s">
        <v>27</v>
      </c>
      <c r="D317" s="2" t="s">
        <v>15</v>
      </c>
      <c r="E317" s="2" t="s">
        <v>18</v>
      </c>
    </row>
    <row r="318" spans="1:5" x14ac:dyDescent="0.25">
      <c r="A318" s="2">
        <v>1307</v>
      </c>
      <c r="B318" s="2">
        <v>33</v>
      </c>
      <c r="C318" s="8">
        <v>45840</v>
      </c>
      <c r="D318" s="2" t="s">
        <v>17</v>
      </c>
      <c r="E318" s="2" t="s">
        <v>13</v>
      </c>
    </row>
    <row r="319" spans="1:5" x14ac:dyDescent="0.25">
      <c r="A319" s="2">
        <v>482</v>
      </c>
      <c r="B319" s="2">
        <v>12</v>
      </c>
      <c r="C319" s="8">
        <v>45741</v>
      </c>
      <c r="D319" s="2" t="s">
        <v>12</v>
      </c>
      <c r="E319" s="2" t="s">
        <v>18</v>
      </c>
    </row>
    <row r="320" spans="1:5" x14ac:dyDescent="0.25">
      <c r="A320" s="2">
        <v>917</v>
      </c>
      <c r="B320" s="2">
        <v>23</v>
      </c>
      <c r="C320" s="8">
        <v>45781</v>
      </c>
      <c r="D320" s="2" t="s">
        <v>20</v>
      </c>
      <c r="E320" s="2" t="s">
        <v>16</v>
      </c>
    </row>
    <row r="321" spans="1:5" x14ac:dyDescent="0.25">
      <c r="A321" s="2">
        <v>598</v>
      </c>
      <c r="B321" s="2">
        <v>14</v>
      </c>
      <c r="C321" s="8">
        <v>45721</v>
      </c>
      <c r="D321" s="2" t="s">
        <v>15</v>
      </c>
      <c r="E321" s="2" t="s">
        <v>13</v>
      </c>
    </row>
    <row r="322" spans="1:5" x14ac:dyDescent="0.25">
      <c r="A322" s="2">
        <v>556</v>
      </c>
      <c r="B322" s="2">
        <v>13</v>
      </c>
      <c r="C322" s="8">
        <v>45737</v>
      </c>
      <c r="D322" s="2" t="s">
        <v>12</v>
      </c>
      <c r="E322" s="2" t="s">
        <v>18</v>
      </c>
    </row>
    <row r="323" spans="1:5" x14ac:dyDescent="0.25">
      <c r="A323" s="2">
        <v>42</v>
      </c>
      <c r="B323" s="2">
        <v>2</v>
      </c>
      <c r="C323" s="8">
        <v>45677</v>
      </c>
      <c r="D323" s="2" t="s">
        <v>12</v>
      </c>
      <c r="E323" s="2" t="s">
        <v>16</v>
      </c>
    </row>
    <row r="324" spans="1:5" x14ac:dyDescent="0.25">
      <c r="A324" s="2">
        <v>1500</v>
      </c>
      <c r="B324" s="2">
        <v>38</v>
      </c>
      <c r="C324" s="8">
        <v>45879</v>
      </c>
      <c r="D324" s="2" t="s">
        <v>15</v>
      </c>
      <c r="E324" s="2" t="s">
        <v>13</v>
      </c>
    </row>
    <row r="325" spans="1:5" x14ac:dyDescent="0.25">
      <c r="A325" s="2">
        <v>402</v>
      </c>
      <c r="B325" s="2">
        <v>9</v>
      </c>
      <c r="C325" s="8">
        <v>45705</v>
      </c>
      <c r="D325" s="2" t="s">
        <v>15</v>
      </c>
      <c r="E325" s="2" t="s">
        <v>14</v>
      </c>
    </row>
    <row r="326" spans="1:5" x14ac:dyDescent="0.25">
      <c r="A326" s="2">
        <v>990</v>
      </c>
      <c r="B326" s="2">
        <v>25</v>
      </c>
      <c r="C326" s="8">
        <v>45796</v>
      </c>
      <c r="D326" s="2" t="s">
        <v>12</v>
      </c>
      <c r="E326" s="2" t="s">
        <v>16</v>
      </c>
    </row>
    <row r="327" spans="1:5" x14ac:dyDescent="0.25">
      <c r="A327" s="2">
        <v>147</v>
      </c>
      <c r="B327" s="2">
        <v>3</v>
      </c>
      <c r="C327" s="8">
        <v>45660</v>
      </c>
      <c r="D327" s="2" t="s">
        <v>15</v>
      </c>
      <c r="E327" s="2" t="s">
        <v>16</v>
      </c>
    </row>
    <row r="328" spans="1:5" x14ac:dyDescent="0.25">
      <c r="A328" s="2">
        <v>134</v>
      </c>
      <c r="B328" s="2">
        <v>3</v>
      </c>
      <c r="C328" s="8">
        <v>45665</v>
      </c>
      <c r="D328" s="2" t="s">
        <v>19</v>
      </c>
      <c r="E328" s="2" t="s">
        <v>16</v>
      </c>
    </row>
    <row r="329" spans="1:5" x14ac:dyDescent="0.25">
      <c r="A329" s="2">
        <v>2113</v>
      </c>
      <c r="B329" s="2">
        <v>58</v>
      </c>
      <c r="C329" s="8">
        <v>45996</v>
      </c>
      <c r="D329" s="2" t="s">
        <v>12</v>
      </c>
      <c r="E329" s="2" t="s">
        <v>13</v>
      </c>
    </row>
    <row r="330" spans="1:5" x14ac:dyDescent="0.25">
      <c r="A330" s="2">
        <v>71</v>
      </c>
      <c r="B330" s="2">
        <v>2</v>
      </c>
      <c r="C330" s="8">
        <v>45684</v>
      </c>
      <c r="D330" s="2" t="s">
        <v>19</v>
      </c>
      <c r="E330" s="2" t="s">
        <v>13</v>
      </c>
    </row>
    <row r="331" spans="1:5" x14ac:dyDescent="0.25">
      <c r="A331" s="2">
        <v>618</v>
      </c>
      <c r="B331" s="2">
        <v>15</v>
      </c>
      <c r="C331" s="8">
        <v>45729</v>
      </c>
      <c r="D331" s="2" t="s">
        <v>12</v>
      </c>
      <c r="E331" s="2" t="s">
        <v>18</v>
      </c>
    </row>
    <row r="332" spans="1:5" x14ac:dyDescent="0.25">
      <c r="A332" s="2">
        <v>1028</v>
      </c>
      <c r="B332" s="2">
        <v>26</v>
      </c>
      <c r="C332" s="8">
        <v>45818</v>
      </c>
      <c r="D332" s="2" t="s">
        <v>12</v>
      </c>
      <c r="E332" s="2" t="s">
        <v>18</v>
      </c>
    </row>
    <row r="333" spans="1:5" x14ac:dyDescent="0.25">
      <c r="A333" s="2">
        <v>1730</v>
      </c>
      <c r="B333" s="2">
        <v>44</v>
      </c>
      <c r="C333" s="8">
        <v>45924</v>
      </c>
      <c r="D333" s="2" t="s">
        <v>20</v>
      </c>
      <c r="E333" s="2" t="s">
        <v>18</v>
      </c>
    </row>
    <row r="334" spans="1:5" x14ac:dyDescent="0.25">
      <c r="A334" s="2">
        <v>375</v>
      </c>
      <c r="B334" s="2">
        <v>8</v>
      </c>
      <c r="C334" s="8">
        <v>45711</v>
      </c>
      <c r="D334" s="2" t="s">
        <v>12</v>
      </c>
      <c r="E334" s="2" t="s">
        <v>13</v>
      </c>
    </row>
    <row r="335" spans="1:5" x14ac:dyDescent="0.25">
      <c r="A335" s="2">
        <v>1957</v>
      </c>
      <c r="B335" s="2">
        <v>51</v>
      </c>
      <c r="C335" s="8">
        <v>45981</v>
      </c>
      <c r="D335" s="2" t="s">
        <v>19</v>
      </c>
      <c r="E335" s="2" t="s">
        <v>18</v>
      </c>
    </row>
    <row r="336" spans="1:5" x14ac:dyDescent="0.25">
      <c r="A336" s="2">
        <v>2128</v>
      </c>
      <c r="B336" s="2">
        <v>59</v>
      </c>
      <c r="C336" s="8">
        <v>46014</v>
      </c>
      <c r="D336" s="2" t="s">
        <v>20</v>
      </c>
      <c r="E336" s="2" t="s">
        <v>18</v>
      </c>
    </row>
    <row r="337" spans="1:5" x14ac:dyDescent="0.25">
      <c r="A337" s="2">
        <v>1929</v>
      </c>
      <c r="B337" s="2">
        <v>49</v>
      </c>
      <c r="C337" s="8">
        <v>45946</v>
      </c>
      <c r="D337" s="2" t="s">
        <v>15</v>
      </c>
      <c r="E337" s="2" t="s">
        <v>16</v>
      </c>
    </row>
    <row r="338" spans="1:5" x14ac:dyDescent="0.25">
      <c r="A338" s="2">
        <v>694</v>
      </c>
      <c r="B338" s="2">
        <v>17</v>
      </c>
      <c r="C338" s="8">
        <v>45769</v>
      </c>
      <c r="D338" s="2" t="s">
        <v>15</v>
      </c>
      <c r="E338" s="2" t="s">
        <v>16</v>
      </c>
    </row>
    <row r="339" spans="1:5" x14ac:dyDescent="0.25">
      <c r="A339" s="2">
        <v>572</v>
      </c>
      <c r="B339" s="2">
        <v>13</v>
      </c>
      <c r="C339" s="8">
        <v>45727</v>
      </c>
      <c r="D339" s="2" t="s">
        <v>20</v>
      </c>
      <c r="E339" s="2" t="s">
        <v>18</v>
      </c>
    </row>
    <row r="340" spans="1:5" x14ac:dyDescent="0.25">
      <c r="A340" s="2">
        <v>1838</v>
      </c>
      <c r="B340" s="2">
        <v>47</v>
      </c>
      <c r="C340" s="8">
        <v>45936</v>
      </c>
      <c r="D340" s="2" t="s">
        <v>15</v>
      </c>
      <c r="E340" s="2" t="s">
        <v>18</v>
      </c>
    </row>
    <row r="341" spans="1:5" x14ac:dyDescent="0.25">
      <c r="A341" s="2">
        <v>2081</v>
      </c>
      <c r="B341" s="2">
        <v>56</v>
      </c>
      <c r="C341" s="8">
        <v>45992</v>
      </c>
      <c r="D341" s="2" t="s">
        <v>17</v>
      </c>
      <c r="E341" s="2" t="s">
        <v>18</v>
      </c>
    </row>
    <row r="342" spans="1:5" x14ac:dyDescent="0.25">
      <c r="A342" s="2">
        <v>1362</v>
      </c>
      <c r="B342" s="2">
        <v>34</v>
      </c>
      <c r="C342" s="8">
        <v>45844</v>
      </c>
      <c r="D342" s="2" t="s">
        <v>12</v>
      </c>
      <c r="E342" s="2" t="s">
        <v>18</v>
      </c>
    </row>
    <row r="343" spans="1:5" x14ac:dyDescent="0.25">
      <c r="A343" s="2">
        <v>335</v>
      </c>
      <c r="B343" s="2">
        <v>8</v>
      </c>
      <c r="C343" s="8">
        <v>45708</v>
      </c>
      <c r="D343" s="2" t="s">
        <v>15</v>
      </c>
      <c r="E343" s="2" t="s">
        <v>16</v>
      </c>
    </row>
    <row r="344" spans="1:5" x14ac:dyDescent="0.25">
      <c r="A344" s="2">
        <v>1941</v>
      </c>
      <c r="B344" s="2">
        <v>50</v>
      </c>
      <c r="C344" s="8">
        <v>45952</v>
      </c>
      <c r="D344" s="2" t="s">
        <v>15</v>
      </c>
      <c r="E344" s="2" t="s">
        <v>18</v>
      </c>
    </row>
    <row r="345" spans="1:5" x14ac:dyDescent="0.25">
      <c r="A345" s="2">
        <v>1014</v>
      </c>
      <c r="B345" s="2">
        <v>26</v>
      </c>
      <c r="C345" s="8">
        <v>45829</v>
      </c>
      <c r="D345" s="2" t="s">
        <v>17</v>
      </c>
      <c r="E345" s="2" t="s">
        <v>16</v>
      </c>
    </row>
    <row r="346" spans="1:5" x14ac:dyDescent="0.25">
      <c r="A346" s="2">
        <v>824</v>
      </c>
      <c r="B346" s="2">
        <v>20</v>
      </c>
      <c r="C346" s="8">
        <v>45757</v>
      </c>
      <c r="D346" s="2" t="s">
        <v>19</v>
      </c>
      <c r="E346" s="2" t="s">
        <v>18</v>
      </c>
    </row>
    <row r="347" spans="1:5" x14ac:dyDescent="0.25">
      <c r="A347" s="2">
        <v>606</v>
      </c>
      <c r="B347" s="2">
        <v>14</v>
      </c>
      <c r="C347" s="8">
        <v>45732</v>
      </c>
      <c r="D347" s="2" t="s">
        <v>12</v>
      </c>
      <c r="E347" s="2" t="s">
        <v>14</v>
      </c>
    </row>
    <row r="348" spans="1:5" x14ac:dyDescent="0.25">
      <c r="A348" s="2">
        <v>1008</v>
      </c>
      <c r="B348" s="2">
        <v>26</v>
      </c>
      <c r="C348" s="8">
        <v>45816</v>
      </c>
      <c r="D348" s="2" t="s">
        <v>17</v>
      </c>
      <c r="E348" s="2" t="s">
        <v>18</v>
      </c>
    </row>
    <row r="349" spans="1:5" x14ac:dyDescent="0.25">
      <c r="A349" s="2">
        <v>1405</v>
      </c>
      <c r="B349" s="2">
        <v>36</v>
      </c>
      <c r="C349" s="8">
        <v>45881</v>
      </c>
      <c r="D349" s="2" t="s">
        <v>19</v>
      </c>
      <c r="E349" s="2" t="s">
        <v>18</v>
      </c>
    </row>
    <row r="350" spans="1:5" x14ac:dyDescent="0.25">
      <c r="A350" s="2">
        <v>562</v>
      </c>
      <c r="B350" s="2">
        <v>13</v>
      </c>
      <c r="C350" s="8">
        <v>45739</v>
      </c>
      <c r="D350" s="2" t="s">
        <v>20</v>
      </c>
      <c r="E350" s="2" t="s">
        <v>18</v>
      </c>
    </row>
    <row r="351" spans="1:5" x14ac:dyDescent="0.25">
      <c r="A351" s="2">
        <v>1272</v>
      </c>
      <c r="B351" s="2">
        <v>33</v>
      </c>
      <c r="C351" s="8">
        <v>45860</v>
      </c>
      <c r="D351" s="2" t="s">
        <v>19</v>
      </c>
      <c r="E351" s="2" t="s">
        <v>16</v>
      </c>
    </row>
    <row r="352" spans="1:5" x14ac:dyDescent="0.25">
      <c r="A352" s="2">
        <v>1595</v>
      </c>
      <c r="B352" s="2">
        <v>42</v>
      </c>
      <c r="C352" s="8">
        <v>45917</v>
      </c>
      <c r="D352" s="2" t="s">
        <v>15</v>
      </c>
      <c r="E352" s="2" t="s">
        <v>13</v>
      </c>
    </row>
    <row r="353" spans="1:5" x14ac:dyDescent="0.25">
      <c r="A353" s="2">
        <v>1086</v>
      </c>
      <c r="B353" s="2">
        <v>27</v>
      </c>
      <c r="C353" s="8">
        <v>45809</v>
      </c>
      <c r="D353" s="2" t="s">
        <v>15</v>
      </c>
      <c r="E353" s="2" t="s">
        <v>16</v>
      </c>
    </row>
    <row r="354" spans="1:5" x14ac:dyDescent="0.25">
      <c r="A354" s="2">
        <v>901</v>
      </c>
      <c r="B354" s="2">
        <v>22</v>
      </c>
      <c r="C354" s="8">
        <v>45804</v>
      </c>
      <c r="D354" s="2" t="s">
        <v>20</v>
      </c>
      <c r="E354" s="2" t="s">
        <v>16</v>
      </c>
    </row>
    <row r="355" spans="1:5" x14ac:dyDescent="0.25">
      <c r="A355" s="2">
        <v>750</v>
      </c>
      <c r="B355" s="2">
        <v>18</v>
      </c>
      <c r="C355" s="8">
        <v>45764</v>
      </c>
      <c r="D355" s="2" t="s">
        <v>20</v>
      </c>
      <c r="E355" s="2" t="s">
        <v>16</v>
      </c>
    </row>
    <row r="356" spans="1:5" x14ac:dyDescent="0.25">
      <c r="A356" s="2">
        <v>689</v>
      </c>
      <c r="B356" s="2">
        <v>17</v>
      </c>
      <c r="C356" s="8">
        <v>45755</v>
      </c>
      <c r="D356" s="2" t="s">
        <v>17</v>
      </c>
      <c r="E356" s="2" t="s">
        <v>16</v>
      </c>
    </row>
    <row r="357" spans="1:5" x14ac:dyDescent="0.25">
      <c r="A357" s="2">
        <v>1501</v>
      </c>
      <c r="B357" s="2">
        <v>38</v>
      </c>
      <c r="C357" s="8">
        <v>45890</v>
      </c>
      <c r="D357" s="2" t="s">
        <v>12</v>
      </c>
      <c r="E357" s="2" t="s">
        <v>16</v>
      </c>
    </row>
    <row r="358" spans="1:5" x14ac:dyDescent="0.25">
      <c r="A358" s="2">
        <v>186</v>
      </c>
      <c r="B358" s="2">
        <v>4</v>
      </c>
      <c r="C358" s="8">
        <v>45666</v>
      </c>
      <c r="D358" s="2" t="s">
        <v>20</v>
      </c>
      <c r="E358" s="2" t="s">
        <v>13</v>
      </c>
    </row>
    <row r="359" spans="1:5" x14ac:dyDescent="0.25">
      <c r="A359" s="2">
        <v>360</v>
      </c>
      <c r="B359" s="2">
        <v>8</v>
      </c>
      <c r="C359" s="8">
        <v>45702</v>
      </c>
      <c r="D359" s="2" t="s">
        <v>12</v>
      </c>
      <c r="E359" s="2" t="s">
        <v>16</v>
      </c>
    </row>
    <row r="360" spans="1:5" x14ac:dyDescent="0.25">
      <c r="A360" s="2">
        <v>169</v>
      </c>
      <c r="B360" s="2">
        <v>3</v>
      </c>
      <c r="C360" s="8">
        <v>45681</v>
      </c>
      <c r="D360" s="2" t="s">
        <v>12</v>
      </c>
      <c r="E360" s="2" t="s">
        <v>18</v>
      </c>
    </row>
    <row r="361" spans="1:5" x14ac:dyDescent="0.25">
      <c r="A361" s="2">
        <v>1416</v>
      </c>
      <c r="B361" s="2">
        <v>37</v>
      </c>
      <c r="C361" s="8">
        <v>45873</v>
      </c>
      <c r="D361" s="2" t="s">
        <v>12</v>
      </c>
      <c r="E361" s="2" t="s">
        <v>13</v>
      </c>
    </row>
    <row r="362" spans="1:5" x14ac:dyDescent="0.25">
      <c r="A362" s="2">
        <v>1018</v>
      </c>
      <c r="B362" s="2">
        <v>26</v>
      </c>
      <c r="C362" s="8">
        <v>45811</v>
      </c>
      <c r="D362" s="2" t="s">
        <v>20</v>
      </c>
      <c r="E362" s="2" t="s">
        <v>18</v>
      </c>
    </row>
    <row r="363" spans="1:5" x14ac:dyDescent="0.25">
      <c r="A363" s="2">
        <v>958</v>
      </c>
      <c r="B363" s="2">
        <v>23</v>
      </c>
      <c r="C363" s="8">
        <v>45779</v>
      </c>
      <c r="D363" s="2" t="s">
        <v>20</v>
      </c>
      <c r="E363" s="2" t="s">
        <v>16</v>
      </c>
    </row>
    <row r="364" spans="1:5" x14ac:dyDescent="0.25">
      <c r="A364" s="2">
        <v>100</v>
      </c>
      <c r="B364" s="2">
        <v>3</v>
      </c>
      <c r="C364" s="8">
        <v>45659</v>
      </c>
      <c r="D364" s="2" t="s">
        <v>15</v>
      </c>
      <c r="E364" s="2" t="s">
        <v>16</v>
      </c>
    </row>
    <row r="365" spans="1:5" x14ac:dyDescent="0.25">
      <c r="A365" s="2">
        <v>1366</v>
      </c>
      <c r="B365" s="2">
        <v>34</v>
      </c>
      <c r="C365" s="8">
        <v>45856</v>
      </c>
      <c r="D365" s="2" t="s">
        <v>15</v>
      </c>
      <c r="E365" s="2" t="s">
        <v>16</v>
      </c>
    </row>
    <row r="366" spans="1:5" x14ac:dyDescent="0.25">
      <c r="A366" s="2">
        <v>467</v>
      </c>
      <c r="B366" s="2">
        <v>12</v>
      </c>
      <c r="C366" s="8">
        <v>45742</v>
      </c>
      <c r="D366" s="2" t="s">
        <v>15</v>
      </c>
      <c r="E366" s="2" t="s">
        <v>16</v>
      </c>
    </row>
    <row r="367" spans="1:5" x14ac:dyDescent="0.25">
      <c r="A367" s="2">
        <v>961</v>
      </c>
      <c r="B367" s="2">
        <v>23</v>
      </c>
      <c r="C367" s="8">
        <v>45796</v>
      </c>
      <c r="D367" s="2" t="s">
        <v>20</v>
      </c>
      <c r="E367" s="2" t="s">
        <v>13</v>
      </c>
    </row>
    <row r="368" spans="1:5" x14ac:dyDescent="0.25">
      <c r="A368" s="2">
        <v>545</v>
      </c>
      <c r="B368" s="2">
        <v>13</v>
      </c>
      <c r="C368" s="8">
        <v>45744</v>
      </c>
      <c r="D368" s="2" t="s">
        <v>19</v>
      </c>
      <c r="E368" s="2" t="s">
        <v>13</v>
      </c>
    </row>
    <row r="369" spans="1:5" x14ac:dyDescent="0.25">
      <c r="A369" s="2">
        <v>1317</v>
      </c>
      <c r="B369" s="2">
        <v>33</v>
      </c>
      <c r="C369" s="8">
        <v>45843</v>
      </c>
      <c r="D369" s="2" t="s">
        <v>12</v>
      </c>
      <c r="E369" s="2" t="s">
        <v>13</v>
      </c>
    </row>
    <row r="370" spans="1:5" x14ac:dyDescent="0.25">
      <c r="A370" s="2">
        <v>1896</v>
      </c>
      <c r="B370" s="2">
        <v>48</v>
      </c>
      <c r="C370" s="8">
        <v>45952</v>
      </c>
      <c r="D370" s="2" t="s">
        <v>12</v>
      </c>
      <c r="E370" s="2" t="s">
        <v>18</v>
      </c>
    </row>
    <row r="371" spans="1:5" x14ac:dyDescent="0.25">
      <c r="A371" s="2">
        <v>1962</v>
      </c>
      <c r="B371" s="2">
        <v>51</v>
      </c>
      <c r="C371" s="8">
        <v>45966</v>
      </c>
      <c r="D371" s="2" t="s">
        <v>12</v>
      </c>
      <c r="E371" s="2" t="s">
        <v>16</v>
      </c>
    </row>
    <row r="372" spans="1:5" x14ac:dyDescent="0.25">
      <c r="A372" s="2">
        <v>1418</v>
      </c>
      <c r="B372" s="2">
        <v>37</v>
      </c>
      <c r="C372" s="8">
        <v>45891</v>
      </c>
      <c r="D372" s="2" t="s">
        <v>19</v>
      </c>
      <c r="E372" s="2" t="s">
        <v>13</v>
      </c>
    </row>
    <row r="373" spans="1:5" x14ac:dyDescent="0.25">
      <c r="A373" s="2">
        <v>720</v>
      </c>
      <c r="B373" s="2">
        <v>18</v>
      </c>
      <c r="C373" s="8">
        <v>45762</v>
      </c>
      <c r="D373" s="2" t="s">
        <v>12</v>
      </c>
      <c r="E373" s="2" t="s">
        <v>16</v>
      </c>
    </row>
    <row r="374" spans="1:5" x14ac:dyDescent="0.25">
      <c r="A374" s="2">
        <v>1650</v>
      </c>
      <c r="B374" s="2">
        <v>43</v>
      </c>
      <c r="C374" s="8">
        <v>45904</v>
      </c>
      <c r="D374" s="2" t="s">
        <v>19</v>
      </c>
      <c r="E374" s="2" t="s">
        <v>16</v>
      </c>
    </row>
    <row r="375" spans="1:5" x14ac:dyDescent="0.25">
      <c r="A375" s="2">
        <v>63</v>
      </c>
      <c r="B375" s="2">
        <v>2</v>
      </c>
      <c r="C375" s="8">
        <v>45670</v>
      </c>
      <c r="D375" s="2" t="s">
        <v>12</v>
      </c>
      <c r="E375" s="2" t="s">
        <v>18</v>
      </c>
    </row>
    <row r="376" spans="1:5" x14ac:dyDescent="0.25">
      <c r="A376" s="2">
        <v>1663</v>
      </c>
      <c r="B376" s="2">
        <v>43</v>
      </c>
      <c r="C376" s="8">
        <v>45911</v>
      </c>
      <c r="D376" s="2" t="s">
        <v>19</v>
      </c>
      <c r="E376" s="2" t="s">
        <v>16</v>
      </c>
    </row>
    <row r="377" spans="1:5" x14ac:dyDescent="0.25">
      <c r="A377" s="2">
        <v>1377</v>
      </c>
      <c r="B377" s="2">
        <v>35</v>
      </c>
      <c r="C377" s="8">
        <v>45860</v>
      </c>
      <c r="D377" s="2" t="s">
        <v>19</v>
      </c>
      <c r="E377" s="2" t="s">
        <v>18</v>
      </c>
    </row>
    <row r="378" spans="1:5" x14ac:dyDescent="0.25">
      <c r="A378" s="2">
        <v>1074</v>
      </c>
      <c r="B378" s="2">
        <v>27</v>
      </c>
      <c r="C378" s="8">
        <v>45820</v>
      </c>
      <c r="D378" s="2" t="s">
        <v>19</v>
      </c>
      <c r="E378" s="2" t="s">
        <v>16</v>
      </c>
    </row>
    <row r="379" spans="1:5" x14ac:dyDescent="0.25">
      <c r="A379" s="2">
        <v>844</v>
      </c>
      <c r="B379" s="2">
        <v>21</v>
      </c>
      <c r="C379" s="8">
        <v>45799</v>
      </c>
      <c r="D379" s="2" t="s">
        <v>20</v>
      </c>
      <c r="E379" s="2" t="s">
        <v>16</v>
      </c>
    </row>
    <row r="380" spans="1:5" x14ac:dyDescent="0.25">
      <c r="A380" s="2">
        <v>898</v>
      </c>
      <c r="B380" s="2">
        <v>22</v>
      </c>
      <c r="C380" s="8">
        <v>45783</v>
      </c>
      <c r="D380" s="2" t="s">
        <v>12</v>
      </c>
      <c r="E380" s="2" t="s">
        <v>16</v>
      </c>
    </row>
    <row r="381" spans="1:5" x14ac:dyDescent="0.25">
      <c r="A381" s="2">
        <v>1981</v>
      </c>
      <c r="B381" s="2">
        <v>52</v>
      </c>
      <c r="C381" s="8">
        <v>45971</v>
      </c>
      <c r="D381" s="2" t="s">
        <v>12</v>
      </c>
      <c r="E381" s="2" t="s">
        <v>16</v>
      </c>
    </row>
    <row r="382" spans="1:5" x14ac:dyDescent="0.25">
      <c r="A382" s="2">
        <v>755</v>
      </c>
      <c r="B382" s="2">
        <v>18</v>
      </c>
      <c r="C382" s="8">
        <v>45755</v>
      </c>
      <c r="D382" s="2" t="s">
        <v>15</v>
      </c>
      <c r="E382" s="2" t="s">
        <v>13</v>
      </c>
    </row>
    <row r="383" spans="1:5" x14ac:dyDescent="0.25">
      <c r="A383" s="2">
        <v>1089</v>
      </c>
      <c r="B383" s="2">
        <v>27</v>
      </c>
      <c r="C383" s="8">
        <v>45825</v>
      </c>
      <c r="D383" s="2" t="s">
        <v>12</v>
      </c>
      <c r="E383" s="2" t="s">
        <v>14</v>
      </c>
    </row>
    <row r="384" spans="1:5" x14ac:dyDescent="0.25">
      <c r="A384" s="2">
        <v>115</v>
      </c>
      <c r="B384" s="2">
        <v>3</v>
      </c>
      <c r="C384" s="8">
        <v>45660</v>
      </c>
      <c r="D384" s="2" t="s">
        <v>12</v>
      </c>
      <c r="E384" s="2" t="s">
        <v>13</v>
      </c>
    </row>
    <row r="385" spans="1:5" x14ac:dyDescent="0.25">
      <c r="A385" s="2">
        <v>821</v>
      </c>
      <c r="B385" s="2">
        <v>20</v>
      </c>
      <c r="C385" s="8">
        <v>45765</v>
      </c>
      <c r="D385" s="2" t="s">
        <v>12</v>
      </c>
      <c r="E385" s="2" t="s">
        <v>16</v>
      </c>
    </row>
    <row r="386" spans="1:5" x14ac:dyDescent="0.25">
      <c r="A386" s="2">
        <v>823</v>
      </c>
      <c r="B386" s="2">
        <v>20</v>
      </c>
      <c r="C386" s="8">
        <v>45749</v>
      </c>
      <c r="D386" s="2" t="s">
        <v>12</v>
      </c>
      <c r="E386" s="2" t="s">
        <v>13</v>
      </c>
    </row>
    <row r="387" spans="1:5" x14ac:dyDescent="0.25">
      <c r="A387" s="2">
        <v>333</v>
      </c>
      <c r="B387" s="2">
        <v>8</v>
      </c>
      <c r="C387" s="8">
        <v>45706</v>
      </c>
      <c r="D387" s="2" t="s">
        <v>12</v>
      </c>
      <c r="E387" s="2" t="s">
        <v>16</v>
      </c>
    </row>
    <row r="388" spans="1:5" x14ac:dyDescent="0.25">
      <c r="A388" s="2">
        <v>196</v>
      </c>
      <c r="B388" s="2">
        <v>4</v>
      </c>
      <c r="C388" s="8">
        <v>45672</v>
      </c>
      <c r="D388" s="2" t="s">
        <v>15</v>
      </c>
      <c r="E388" s="2" t="s">
        <v>16</v>
      </c>
    </row>
    <row r="389" spans="1:5" x14ac:dyDescent="0.25">
      <c r="A389" s="2">
        <v>912</v>
      </c>
      <c r="B389" s="2">
        <v>23</v>
      </c>
      <c r="C389" s="8">
        <v>45802</v>
      </c>
      <c r="D389" s="2" t="s">
        <v>12</v>
      </c>
      <c r="E389" s="2" t="s">
        <v>13</v>
      </c>
    </row>
    <row r="390" spans="1:5" x14ac:dyDescent="0.25">
      <c r="A390" s="2">
        <v>372</v>
      </c>
      <c r="B390" s="2">
        <v>8</v>
      </c>
      <c r="C390" s="8">
        <v>45712</v>
      </c>
      <c r="D390" s="2" t="s">
        <v>12</v>
      </c>
      <c r="E390" s="2" t="s">
        <v>18</v>
      </c>
    </row>
    <row r="391" spans="1:5" x14ac:dyDescent="0.25">
      <c r="A391" s="2">
        <v>1956</v>
      </c>
      <c r="B391" s="2">
        <v>51</v>
      </c>
      <c r="C391" s="8">
        <v>45988</v>
      </c>
      <c r="D391" s="2" t="s">
        <v>19</v>
      </c>
      <c r="E391" s="2" t="s">
        <v>18</v>
      </c>
    </row>
    <row r="392" spans="1:5" x14ac:dyDescent="0.25">
      <c r="A392" s="2">
        <v>17</v>
      </c>
      <c r="B392" s="2">
        <v>1</v>
      </c>
      <c r="C392" s="8">
        <v>45669</v>
      </c>
      <c r="D392" s="2" t="s">
        <v>20</v>
      </c>
      <c r="E392" s="2" t="s">
        <v>13</v>
      </c>
    </row>
    <row r="393" spans="1:5" x14ac:dyDescent="0.25">
      <c r="A393" s="2">
        <v>2092</v>
      </c>
      <c r="B393" s="2">
        <v>57</v>
      </c>
      <c r="C393" s="8">
        <v>45996</v>
      </c>
      <c r="D393" s="2" t="s">
        <v>20</v>
      </c>
      <c r="E393" s="2" t="s">
        <v>16</v>
      </c>
    </row>
    <row r="394" spans="1:5" x14ac:dyDescent="0.25">
      <c r="A394" s="2">
        <v>1267</v>
      </c>
      <c r="B394" s="2">
        <v>32</v>
      </c>
      <c r="C394" s="8">
        <v>45851</v>
      </c>
      <c r="D394" s="2" t="s">
        <v>15</v>
      </c>
      <c r="E394" s="2" t="s">
        <v>16</v>
      </c>
    </row>
    <row r="395" spans="1:5" x14ac:dyDescent="0.25">
      <c r="A395" s="2">
        <v>966</v>
      </c>
      <c r="B395" s="2">
        <v>24</v>
      </c>
      <c r="C395" s="8">
        <v>45790</v>
      </c>
      <c r="D395" s="2" t="s">
        <v>12</v>
      </c>
      <c r="E395" s="2" t="s">
        <v>13</v>
      </c>
    </row>
    <row r="396" spans="1:5" x14ac:dyDescent="0.25">
      <c r="A396" s="2">
        <v>1129</v>
      </c>
      <c r="B396" s="2">
        <v>28</v>
      </c>
      <c r="C396" s="8">
        <v>45823</v>
      </c>
      <c r="D396" s="2" t="s">
        <v>20</v>
      </c>
      <c r="E396" s="2" t="s">
        <v>13</v>
      </c>
    </row>
    <row r="397" spans="1:5" x14ac:dyDescent="0.25">
      <c r="A397" s="2">
        <v>365</v>
      </c>
      <c r="B397" s="2">
        <v>8</v>
      </c>
      <c r="C397" s="8">
        <v>45710</v>
      </c>
      <c r="D397" s="2" t="s">
        <v>12</v>
      </c>
      <c r="E397" s="2" t="s">
        <v>13</v>
      </c>
    </row>
    <row r="398" spans="1:5" x14ac:dyDescent="0.25">
      <c r="A398" s="2">
        <v>1550</v>
      </c>
      <c r="B398" s="2">
        <v>40</v>
      </c>
      <c r="C398" s="8">
        <v>45881</v>
      </c>
      <c r="D398" s="2" t="s">
        <v>15</v>
      </c>
      <c r="E398" s="2" t="s">
        <v>16</v>
      </c>
    </row>
    <row r="399" spans="1:5" x14ac:dyDescent="0.25">
      <c r="A399" s="2">
        <v>1070</v>
      </c>
      <c r="B399" s="2">
        <v>27</v>
      </c>
      <c r="C399" s="8">
        <v>45821</v>
      </c>
      <c r="D399" s="2" t="s">
        <v>20</v>
      </c>
      <c r="E399" s="2" t="s">
        <v>18</v>
      </c>
    </row>
    <row r="400" spans="1:5" x14ac:dyDescent="0.25">
      <c r="A400" s="2">
        <v>1456</v>
      </c>
      <c r="B400" s="2">
        <v>38</v>
      </c>
      <c r="C400" s="8">
        <v>45871</v>
      </c>
      <c r="D400" s="2" t="s">
        <v>20</v>
      </c>
      <c r="E400" s="2" t="s">
        <v>18</v>
      </c>
    </row>
    <row r="401" spans="1:5" x14ac:dyDescent="0.25">
      <c r="A401" s="2">
        <v>752</v>
      </c>
      <c r="B401" s="2">
        <v>18</v>
      </c>
      <c r="C401" s="8">
        <v>45764</v>
      </c>
      <c r="D401" s="2" t="s">
        <v>15</v>
      </c>
      <c r="E401" s="2" t="s">
        <v>16</v>
      </c>
    </row>
    <row r="402" spans="1:5" x14ac:dyDescent="0.25">
      <c r="A402" s="2">
        <v>939</v>
      </c>
      <c r="B402" s="2">
        <v>23</v>
      </c>
      <c r="C402" s="8">
        <v>45843</v>
      </c>
      <c r="D402" s="2" t="s">
        <v>20</v>
      </c>
      <c r="E402" s="2" t="s">
        <v>16</v>
      </c>
    </row>
    <row r="403" spans="1:5" x14ac:dyDescent="0.25">
      <c r="A403" s="2">
        <v>1397</v>
      </c>
      <c r="B403" s="2">
        <v>36</v>
      </c>
      <c r="C403" s="8">
        <v>45870</v>
      </c>
      <c r="D403" s="2" t="s">
        <v>20</v>
      </c>
      <c r="E403" s="2" t="s">
        <v>18</v>
      </c>
    </row>
    <row r="404" spans="1:5" x14ac:dyDescent="0.25">
      <c r="A404" s="2">
        <v>1850</v>
      </c>
      <c r="B404" s="2">
        <v>48</v>
      </c>
      <c r="C404" s="8">
        <v>45936</v>
      </c>
      <c r="D404" s="2" t="s">
        <v>20</v>
      </c>
      <c r="E404" s="2" t="s">
        <v>18</v>
      </c>
    </row>
    <row r="405" spans="1:5" x14ac:dyDescent="0.25">
      <c r="A405" s="2">
        <v>312</v>
      </c>
      <c r="B405" s="2">
        <v>8</v>
      </c>
      <c r="C405" s="8">
        <v>45708</v>
      </c>
      <c r="D405" s="2" t="s">
        <v>20</v>
      </c>
      <c r="E405" s="2" t="s">
        <v>18</v>
      </c>
    </row>
    <row r="406" spans="1:5" x14ac:dyDescent="0.25">
      <c r="A406" s="2">
        <v>1078</v>
      </c>
      <c r="B406" s="2">
        <v>27</v>
      </c>
      <c r="C406" s="8">
        <v>45835</v>
      </c>
      <c r="D406" s="2" t="s">
        <v>19</v>
      </c>
      <c r="E406" s="2" t="s">
        <v>18</v>
      </c>
    </row>
    <row r="407" spans="1:5" x14ac:dyDescent="0.25">
      <c r="A407" s="2">
        <v>1038</v>
      </c>
      <c r="B407" s="2">
        <v>27</v>
      </c>
      <c r="C407" s="8">
        <v>45817</v>
      </c>
      <c r="D407" s="2" t="s">
        <v>12</v>
      </c>
      <c r="E407" s="2" t="s">
        <v>16</v>
      </c>
    </row>
    <row r="408" spans="1:5" x14ac:dyDescent="0.25">
      <c r="A408" s="2">
        <v>1569</v>
      </c>
      <c r="B408" s="2">
        <v>41</v>
      </c>
      <c r="C408" s="8">
        <v>45905</v>
      </c>
      <c r="D408" s="2" t="s">
        <v>12</v>
      </c>
      <c r="E408" s="2" t="s">
        <v>14</v>
      </c>
    </row>
    <row r="409" spans="1:5" x14ac:dyDescent="0.25">
      <c r="A409" s="2">
        <v>1117</v>
      </c>
      <c r="B409" s="2">
        <v>28</v>
      </c>
      <c r="C409" s="8">
        <v>45828</v>
      </c>
      <c r="D409" s="2" t="s">
        <v>20</v>
      </c>
      <c r="E409" s="2" t="s">
        <v>18</v>
      </c>
    </row>
    <row r="410" spans="1:5" x14ac:dyDescent="0.25">
      <c r="A410" s="2">
        <v>1555</v>
      </c>
      <c r="B410" s="2">
        <v>40</v>
      </c>
      <c r="C410" s="8">
        <v>45890</v>
      </c>
      <c r="D410" s="2" t="s">
        <v>12</v>
      </c>
      <c r="E410" s="2" t="s">
        <v>16</v>
      </c>
    </row>
    <row r="411" spans="1:5" x14ac:dyDescent="0.25">
      <c r="A411" s="2">
        <v>1549</v>
      </c>
      <c r="B411" s="2">
        <v>40</v>
      </c>
      <c r="C411" s="8">
        <v>45870</v>
      </c>
      <c r="D411" s="2" t="s">
        <v>15</v>
      </c>
      <c r="E411" s="2" t="s">
        <v>16</v>
      </c>
    </row>
    <row r="412" spans="1:5" x14ac:dyDescent="0.25">
      <c r="A412" s="2">
        <v>569</v>
      </c>
      <c r="B412" s="2">
        <v>13</v>
      </c>
      <c r="C412" s="8">
        <v>45737</v>
      </c>
      <c r="D412" s="2" t="s">
        <v>19</v>
      </c>
      <c r="E412" s="2" t="s">
        <v>14</v>
      </c>
    </row>
    <row r="413" spans="1:5" x14ac:dyDescent="0.25">
      <c r="A413" s="2">
        <v>705</v>
      </c>
      <c r="B413" s="2">
        <v>18</v>
      </c>
      <c r="C413" s="8">
        <v>45775</v>
      </c>
      <c r="D413" s="2" t="s">
        <v>20</v>
      </c>
      <c r="E413" s="2" t="s">
        <v>13</v>
      </c>
    </row>
    <row r="414" spans="1:5" x14ac:dyDescent="0.25">
      <c r="A414" s="2">
        <v>889</v>
      </c>
      <c r="B414" s="2">
        <v>22</v>
      </c>
      <c r="C414" s="8">
        <v>45785</v>
      </c>
      <c r="D414" s="2" t="s">
        <v>12</v>
      </c>
      <c r="E414" s="2" t="s">
        <v>18</v>
      </c>
    </row>
    <row r="415" spans="1:5" x14ac:dyDescent="0.25">
      <c r="A415" s="2">
        <v>319</v>
      </c>
      <c r="B415" s="2">
        <v>8</v>
      </c>
      <c r="C415" s="8">
        <v>45714</v>
      </c>
      <c r="D415" s="2" t="s">
        <v>12</v>
      </c>
      <c r="E415" s="2" t="s">
        <v>18</v>
      </c>
    </row>
    <row r="416" spans="1:5" x14ac:dyDescent="0.25">
      <c r="A416" s="2">
        <v>1683</v>
      </c>
      <c r="B416" s="2">
        <v>43</v>
      </c>
      <c r="C416" s="8">
        <v>45918</v>
      </c>
      <c r="D416" s="2" t="s">
        <v>15</v>
      </c>
      <c r="E416" s="2" t="s">
        <v>14</v>
      </c>
    </row>
    <row r="417" spans="1:5" x14ac:dyDescent="0.25">
      <c r="A417" s="2">
        <v>593</v>
      </c>
      <c r="B417" s="2">
        <v>14</v>
      </c>
      <c r="C417" s="8">
        <v>45733</v>
      </c>
      <c r="D417" s="2" t="s">
        <v>12</v>
      </c>
      <c r="E417" s="2" t="s">
        <v>16</v>
      </c>
    </row>
    <row r="418" spans="1:5" x14ac:dyDescent="0.25">
      <c r="A418" s="2">
        <v>1753</v>
      </c>
      <c r="B418" s="2">
        <v>45</v>
      </c>
      <c r="C418" s="8">
        <v>45926</v>
      </c>
      <c r="D418" s="2" t="s">
        <v>15</v>
      </c>
      <c r="E418" s="2" t="s">
        <v>14</v>
      </c>
    </row>
    <row r="419" spans="1:5" x14ac:dyDescent="0.25">
      <c r="A419" s="2">
        <v>1155</v>
      </c>
      <c r="B419" s="2">
        <v>29</v>
      </c>
      <c r="C419" s="8">
        <v>45824</v>
      </c>
      <c r="D419" s="2" t="s">
        <v>20</v>
      </c>
      <c r="E419" s="2" t="s">
        <v>16</v>
      </c>
    </row>
    <row r="420" spans="1:5" x14ac:dyDescent="0.25">
      <c r="A420" s="2">
        <v>1150</v>
      </c>
      <c r="B420" s="2">
        <v>28</v>
      </c>
      <c r="C420" s="8">
        <v>45822</v>
      </c>
      <c r="D420" s="2" t="s">
        <v>12</v>
      </c>
      <c r="E420" s="2" t="s">
        <v>16</v>
      </c>
    </row>
    <row r="421" spans="1:5" x14ac:dyDescent="0.25">
      <c r="A421" s="2">
        <v>399</v>
      </c>
      <c r="B421" s="2">
        <v>9</v>
      </c>
      <c r="C421" s="8">
        <v>45697</v>
      </c>
      <c r="D421" s="2" t="s">
        <v>20</v>
      </c>
      <c r="E421" s="2" t="s">
        <v>14</v>
      </c>
    </row>
    <row r="422" spans="1:5" x14ac:dyDescent="0.25">
      <c r="A422" s="2">
        <v>1675</v>
      </c>
      <c r="B422" s="2">
        <v>43</v>
      </c>
      <c r="C422" s="8">
        <v>45912</v>
      </c>
      <c r="D422" s="2" t="s">
        <v>20</v>
      </c>
      <c r="E422" s="2" t="s">
        <v>16</v>
      </c>
    </row>
    <row r="423" spans="1:5" x14ac:dyDescent="0.25">
      <c r="A423" s="2">
        <v>1702</v>
      </c>
      <c r="B423" s="2">
        <v>43</v>
      </c>
      <c r="C423" s="8">
        <v>45906</v>
      </c>
      <c r="D423" s="2" t="s">
        <v>12</v>
      </c>
      <c r="E423" s="2" t="s">
        <v>16</v>
      </c>
    </row>
    <row r="424" spans="1:5" x14ac:dyDescent="0.25">
      <c r="A424" s="2">
        <v>690</v>
      </c>
      <c r="B424" s="2">
        <v>17</v>
      </c>
      <c r="C424" s="8">
        <v>45770</v>
      </c>
      <c r="D424" s="2" t="s">
        <v>12</v>
      </c>
      <c r="E424" s="2" t="s">
        <v>13</v>
      </c>
    </row>
    <row r="425" spans="1:5" x14ac:dyDescent="0.25">
      <c r="A425" s="2">
        <v>2039</v>
      </c>
      <c r="B425" s="2">
        <v>53</v>
      </c>
      <c r="C425" s="8">
        <v>45970</v>
      </c>
      <c r="D425" s="2" t="s">
        <v>20</v>
      </c>
      <c r="E425" s="2" t="s">
        <v>13</v>
      </c>
    </row>
    <row r="426" spans="1:5" x14ac:dyDescent="0.25">
      <c r="A426" s="2">
        <v>2112</v>
      </c>
      <c r="B426" s="2">
        <v>58</v>
      </c>
      <c r="C426" s="8">
        <v>46006</v>
      </c>
      <c r="D426" s="2" t="s">
        <v>12</v>
      </c>
      <c r="E426" s="2" t="s">
        <v>18</v>
      </c>
    </row>
    <row r="427" spans="1:5" x14ac:dyDescent="0.25">
      <c r="A427" s="2">
        <v>796</v>
      </c>
      <c r="B427" s="2">
        <v>19</v>
      </c>
      <c r="C427" s="8">
        <v>45763</v>
      </c>
      <c r="D427" s="2" t="s">
        <v>19</v>
      </c>
      <c r="E427" s="2" t="s">
        <v>18</v>
      </c>
    </row>
    <row r="428" spans="1:5" x14ac:dyDescent="0.25">
      <c r="A428" s="2">
        <v>145</v>
      </c>
      <c r="B428" s="2">
        <v>3</v>
      </c>
      <c r="C428" s="8">
        <v>45685</v>
      </c>
      <c r="D428" s="2" t="s">
        <v>12</v>
      </c>
      <c r="E428" s="2" t="s">
        <v>16</v>
      </c>
    </row>
    <row r="429" spans="1:5" x14ac:dyDescent="0.25">
      <c r="A429" s="2">
        <v>219</v>
      </c>
      <c r="B429" s="2">
        <v>5</v>
      </c>
      <c r="C429" s="8">
        <v>45669</v>
      </c>
      <c r="D429" s="2" t="s">
        <v>15</v>
      </c>
      <c r="E429" s="2" t="s">
        <v>13</v>
      </c>
    </row>
    <row r="430" spans="1:5" x14ac:dyDescent="0.25">
      <c r="A430" s="2">
        <v>523</v>
      </c>
      <c r="B430" s="2">
        <v>13</v>
      </c>
      <c r="C430" s="8">
        <v>45720</v>
      </c>
      <c r="D430" s="2" t="s">
        <v>12</v>
      </c>
      <c r="E430" s="2" t="s">
        <v>16</v>
      </c>
    </row>
    <row r="431" spans="1:5" x14ac:dyDescent="0.25">
      <c r="A431" s="2">
        <v>1157</v>
      </c>
      <c r="B431" s="2">
        <v>29</v>
      </c>
      <c r="C431" s="8">
        <v>45823</v>
      </c>
      <c r="D431" s="2" t="s">
        <v>19</v>
      </c>
      <c r="E431" s="2" t="s">
        <v>18</v>
      </c>
    </row>
    <row r="432" spans="1:5" x14ac:dyDescent="0.25">
      <c r="A432" s="2">
        <v>786</v>
      </c>
      <c r="B432" s="2">
        <v>19</v>
      </c>
      <c r="C432" s="8">
        <v>45770</v>
      </c>
      <c r="D432" s="2" t="s">
        <v>12</v>
      </c>
      <c r="E432" s="2" t="s">
        <v>18</v>
      </c>
    </row>
    <row r="433" spans="1:5" x14ac:dyDescent="0.25">
      <c r="A433" s="2">
        <v>891</v>
      </c>
      <c r="B433" s="2">
        <v>22</v>
      </c>
      <c r="C433" s="8">
        <v>45789</v>
      </c>
      <c r="D433" s="2" t="s">
        <v>12</v>
      </c>
      <c r="E433" s="2" t="s">
        <v>13</v>
      </c>
    </row>
    <row r="434" spans="1:5" x14ac:dyDescent="0.25">
      <c r="A434" s="2">
        <v>1275</v>
      </c>
      <c r="B434" s="2">
        <v>33</v>
      </c>
      <c r="C434" s="8">
        <v>45863</v>
      </c>
      <c r="D434" s="2" t="s">
        <v>12</v>
      </c>
      <c r="E434" s="2" t="s">
        <v>16</v>
      </c>
    </row>
    <row r="435" spans="1:5" x14ac:dyDescent="0.25">
      <c r="A435" s="2">
        <v>425</v>
      </c>
      <c r="B435" s="2">
        <v>10</v>
      </c>
      <c r="C435" s="8">
        <v>45714</v>
      </c>
      <c r="D435" s="2" t="s">
        <v>12</v>
      </c>
      <c r="E435" s="2" t="s">
        <v>18</v>
      </c>
    </row>
    <row r="436" spans="1:5" x14ac:dyDescent="0.25">
      <c r="A436" s="2">
        <v>1694</v>
      </c>
      <c r="B436" s="2">
        <v>43</v>
      </c>
      <c r="C436" s="8" t="s">
        <v>28</v>
      </c>
      <c r="D436" s="2" t="s">
        <v>12</v>
      </c>
      <c r="E436" s="2" t="s">
        <v>18</v>
      </c>
    </row>
    <row r="437" spans="1:5" x14ac:dyDescent="0.25">
      <c r="A437" s="2">
        <v>1655</v>
      </c>
      <c r="B437" s="2">
        <v>43</v>
      </c>
      <c r="C437" s="8">
        <v>45911</v>
      </c>
      <c r="D437" s="2" t="s">
        <v>15</v>
      </c>
      <c r="E437" s="2" t="s">
        <v>16</v>
      </c>
    </row>
    <row r="438" spans="1:5" x14ac:dyDescent="0.25">
      <c r="A438" s="2">
        <v>1497</v>
      </c>
      <c r="B438" s="2">
        <v>38</v>
      </c>
      <c r="C438" s="8">
        <v>45895</v>
      </c>
      <c r="D438" s="2" t="s">
        <v>12</v>
      </c>
      <c r="E438" s="2" t="s">
        <v>18</v>
      </c>
    </row>
    <row r="439" spans="1:5" x14ac:dyDescent="0.25">
      <c r="A439" s="2">
        <v>105</v>
      </c>
      <c r="B439" s="2">
        <v>3</v>
      </c>
      <c r="C439" s="8">
        <v>45676</v>
      </c>
      <c r="D439" s="2" t="s">
        <v>12</v>
      </c>
      <c r="E439" s="2" t="s">
        <v>18</v>
      </c>
    </row>
    <row r="440" spans="1:5" x14ac:dyDescent="0.25">
      <c r="A440" s="2">
        <v>122</v>
      </c>
      <c r="B440" s="2">
        <v>3</v>
      </c>
      <c r="C440" s="8">
        <v>45679</v>
      </c>
      <c r="D440" s="2" t="s">
        <v>12</v>
      </c>
      <c r="E440" s="2" t="s">
        <v>14</v>
      </c>
    </row>
    <row r="441" spans="1:5" x14ac:dyDescent="0.25">
      <c r="A441" s="2">
        <v>865</v>
      </c>
      <c r="B441" s="2">
        <v>21</v>
      </c>
      <c r="C441" s="8">
        <v>45778</v>
      </c>
      <c r="D441" s="2" t="s">
        <v>20</v>
      </c>
      <c r="E441" s="2" t="s">
        <v>16</v>
      </c>
    </row>
    <row r="442" spans="1:5" x14ac:dyDescent="0.25">
      <c r="A442" s="2">
        <v>262</v>
      </c>
      <c r="B442" s="2">
        <v>6</v>
      </c>
      <c r="C442" s="8">
        <v>45710</v>
      </c>
      <c r="D442" s="2" t="s">
        <v>12</v>
      </c>
      <c r="E442" s="2" t="s">
        <v>16</v>
      </c>
    </row>
    <row r="443" spans="1:5" x14ac:dyDescent="0.25">
      <c r="A443" s="2">
        <v>58</v>
      </c>
      <c r="B443" s="2">
        <v>2</v>
      </c>
      <c r="C443" s="8">
        <v>45685</v>
      </c>
      <c r="D443" s="2" t="s">
        <v>12</v>
      </c>
      <c r="E443" s="2" t="s">
        <v>18</v>
      </c>
    </row>
    <row r="444" spans="1:5" x14ac:dyDescent="0.25">
      <c r="A444" s="2">
        <v>1759</v>
      </c>
      <c r="B444" s="2">
        <v>45</v>
      </c>
      <c r="C444" s="8">
        <v>45909</v>
      </c>
      <c r="D444" s="2" t="s">
        <v>15</v>
      </c>
      <c r="E444" s="2" t="s">
        <v>18</v>
      </c>
    </row>
    <row r="445" spans="1:5" x14ac:dyDescent="0.25">
      <c r="A445" s="2">
        <v>1890</v>
      </c>
      <c r="B445" s="2">
        <v>48</v>
      </c>
      <c r="C445" s="8">
        <v>45942</v>
      </c>
      <c r="D445" s="2" t="s">
        <v>20</v>
      </c>
      <c r="E445" s="2" t="s">
        <v>18</v>
      </c>
    </row>
    <row r="446" spans="1:5" x14ac:dyDescent="0.25">
      <c r="A446" s="2">
        <v>744</v>
      </c>
      <c r="B446" s="2">
        <v>18</v>
      </c>
      <c r="C446" s="8">
        <v>45763</v>
      </c>
      <c r="D446" s="2" t="s">
        <v>12</v>
      </c>
      <c r="E446" s="2" t="s">
        <v>18</v>
      </c>
    </row>
    <row r="447" spans="1:5" x14ac:dyDescent="0.25">
      <c r="A447" s="2">
        <v>610</v>
      </c>
      <c r="B447" s="2">
        <v>14</v>
      </c>
      <c r="C447" s="8">
        <v>45738</v>
      </c>
      <c r="D447" s="2" t="s">
        <v>12</v>
      </c>
      <c r="E447" s="2" t="s">
        <v>16</v>
      </c>
    </row>
    <row r="448" spans="1:5" x14ac:dyDescent="0.25">
      <c r="A448" s="2">
        <v>1878</v>
      </c>
      <c r="B448" s="2">
        <v>48</v>
      </c>
      <c r="C448" s="8">
        <v>45936</v>
      </c>
      <c r="D448" s="2" t="s">
        <v>20</v>
      </c>
      <c r="E448" s="2" t="s">
        <v>13</v>
      </c>
    </row>
    <row r="449" spans="1:5" x14ac:dyDescent="0.25">
      <c r="A449" s="2">
        <v>668</v>
      </c>
      <c r="B449" s="2">
        <v>17</v>
      </c>
      <c r="C449" s="8">
        <v>45756</v>
      </c>
      <c r="D449" s="2" t="s">
        <v>12</v>
      </c>
      <c r="E449" s="2" t="s">
        <v>18</v>
      </c>
    </row>
    <row r="450" spans="1:5" x14ac:dyDescent="0.25">
      <c r="A450" s="2">
        <v>771</v>
      </c>
      <c r="B450" s="2">
        <v>18</v>
      </c>
      <c r="C450" s="8">
        <v>45750</v>
      </c>
      <c r="D450" s="2" t="s">
        <v>17</v>
      </c>
      <c r="E450" s="2" t="s">
        <v>18</v>
      </c>
    </row>
    <row r="451" spans="1:5" x14ac:dyDescent="0.25">
      <c r="A451" s="2">
        <v>1747</v>
      </c>
      <c r="B451" s="2">
        <v>45</v>
      </c>
      <c r="C451" s="8">
        <v>45910</v>
      </c>
      <c r="D451" s="2" t="s">
        <v>15</v>
      </c>
      <c r="E451" s="2" t="s">
        <v>13</v>
      </c>
    </row>
    <row r="452" spans="1:5" x14ac:dyDescent="0.25">
      <c r="A452" s="2">
        <v>1284</v>
      </c>
      <c r="B452" s="2">
        <v>33</v>
      </c>
      <c r="C452" s="8">
        <v>45860</v>
      </c>
      <c r="D452" s="2" t="s">
        <v>15</v>
      </c>
      <c r="E452" s="2" t="s">
        <v>16</v>
      </c>
    </row>
    <row r="453" spans="1:5" x14ac:dyDescent="0.25">
      <c r="A453" s="2">
        <v>586</v>
      </c>
      <c r="B453" s="2">
        <v>13</v>
      </c>
      <c r="C453" s="8">
        <v>45719</v>
      </c>
      <c r="D453" s="2" t="s">
        <v>20</v>
      </c>
      <c r="E453" s="2" t="s">
        <v>16</v>
      </c>
    </row>
    <row r="454" spans="1:5" x14ac:dyDescent="0.25">
      <c r="A454" s="2">
        <v>1443</v>
      </c>
      <c r="B454" s="2">
        <v>38</v>
      </c>
      <c r="C454" s="8">
        <v>45891</v>
      </c>
      <c r="D454" s="2" t="s">
        <v>12</v>
      </c>
      <c r="E454" s="2" t="s">
        <v>18</v>
      </c>
    </row>
    <row r="455" spans="1:5" x14ac:dyDescent="0.25">
      <c r="A455" s="2">
        <v>1338</v>
      </c>
      <c r="B455" s="2">
        <v>33</v>
      </c>
      <c r="C455" s="8">
        <v>45841</v>
      </c>
      <c r="D455" s="2" t="s">
        <v>20</v>
      </c>
      <c r="E455" s="2" t="s">
        <v>18</v>
      </c>
    </row>
    <row r="456" spans="1:5" x14ac:dyDescent="0.25">
      <c r="A456" s="2">
        <v>440</v>
      </c>
      <c r="B456" s="2">
        <v>11</v>
      </c>
      <c r="C456" s="8">
        <v>45731</v>
      </c>
      <c r="D456" s="2" t="s">
        <v>19</v>
      </c>
      <c r="E456" s="2" t="s">
        <v>18</v>
      </c>
    </row>
    <row r="457" spans="1:5" x14ac:dyDescent="0.25">
      <c r="A457" s="2">
        <v>1218</v>
      </c>
      <c r="B457" s="2">
        <v>31</v>
      </c>
      <c r="C457" s="8">
        <v>45851</v>
      </c>
      <c r="D457" s="2" t="s">
        <v>12</v>
      </c>
      <c r="E457" s="2" t="s">
        <v>18</v>
      </c>
    </row>
    <row r="458" spans="1:5" x14ac:dyDescent="0.25">
      <c r="A458" s="2">
        <v>1839</v>
      </c>
      <c r="B458" s="2">
        <v>48</v>
      </c>
      <c r="C458" s="8">
        <v>45946</v>
      </c>
      <c r="D458" s="2" t="s">
        <v>19</v>
      </c>
      <c r="E458" s="2" t="s">
        <v>13</v>
      </c>
    </row>
    <row r="459" spans="1:5" x14ac:dyDescent="0.25">
      <c r="A459" s="2">
        <v>1815</v>
      </c>
      <c r="B459" s="2">
        <v>47</v>
      </c>
      <c r="C459" s="8">
        <v>45945</v>
      </c>
      <c r="D459" s="2" t="s">
        <v>12</v>
      </c>
      <c r="E459" s="2" t="s">
        <v>16</v>
      </c>
    </row>
    <row r="460" spans="1:5" x14ac:dyDescent="0.25">
      <c r="A460" s="2">
        <v>1577</v>
      </c>
      <c r="B460" s="2">
        <v>41</v>
      </c>
      <c r="C460" s="8">
        <v>45906</v>
      </c>
      <c r="D460" s="2" t="s">
        <v>19</v>
      </c>
      <c r="E460" s="2" t="s">
        <v>13</v>
      </c>
    </row>
    <row r="461" spans="1:5" x14ac:dyDescent="0.25">
      <c r="A461" s="2">
        <v>1073</v>
      </c>
      <c r="B461" s="2">
        <v>27</v>
      </c>
      <c r="C461" s="8">
        <v>45830</v>
      </c>
      <c r="D461" s="2" t="s">
        <v>20</v>
      </c>
      <c r="E461" s="2" t="s">
        <v>16</v>
      </c>
    </row>
    <row r="462" spans="1:5" x14ac:dyDescent="0.25">
      <c r="A462" s="2">
        <v>2071</v>
      </c>
      <c r="B462" s="2">
        <v>56</v>
      </c>
      <c r="C462" s="8">
        <v>46010</v>
      </c>
      <c r="D462" s="2" t="s">
        <v>12</v>
      </c>
      <c r="E462" s="2" t="s">
        <v>16</v>
      </c>
    </row>
    <row r="463" spans="1:5" x14ac:dyDescent="0.25">
      <c r="A463" s="2">
        <v>1616</v>
      </c>
      <c r="B463" s="2">
        <v>42</v>
      </c>
      <c r="C463" s="8">
        <v>45915</v>
      </c>
      <c r="D463" s="2" t="s">
        <v>12</v>
      </c>
      <c r="E463" s="2" t="s">
        <v>14</v>
      </c>
    </row>
    <row r="464" spans="1:5" x14ac:dyDescent="0.25">
      <c r="A464" s="2">
        <v>1498</v>
      </c>
      <c r="B464" s="2">
        <v>38</v>
      </c>
      <c r="C464" s="8">
        <v>45884</v>
      </c>
      <c r="D464" s="2" t="s">
        <v>15</v>
      </c>
      <c r="E464" s="2" t="s">
        <v>16</v>
      </c>
    </row>
    <row r="465" spans="1:5" x14ac:dyDescent="0.25">
      <c r="A465" s="2">
        <v>742</v>
      </c>
      <c r="B465" s="2">
        <v>18</v>
      </c>
      <c r="C465" s="8">
        <v>45753</v>
      </c>
      <c r="D465" s="2" t="s">
        <v>17</v>
      </c>
      <c r="E465" s="2" t="s">
        <v>16</v>
      </c>
    </row>
    <row r="466" spans="1:5" x14ac:dyDescent="0.25">
      <c r="A466" s="2">
        <v>938</v>
      </c>
      <c r="B466" s="2">
        <v>23</v>
      </c>
      <c r="C466" s="8">
        <v>45789</v>
      </c>
      <c r="D466" s="2" t="s">
        <v>20</v>
      </c>
      <c r="E466" s="2" t="s">
        <v>14</v>
      </c>
    </row>
    <row r="467" spans="1:5" x14ac:dyDescent="0.25">
      <c r="A467" s="2">
        <v>589</v>
      </c>
      <c r="B467" s="2">
        <v>13</v>
      </c>
      <c r="C467" s="8">
        <v>45740</v>
      </c>
      <c r="D467" s="2" t="s">
        <v>20</v>
      </c>
      <c r="E467" s="2" t="s">
        <v>14</v>
      </c>
    </row>
    <row r="468" spans="1:5" x14ac:dyDescent="0.25">
      <c r="A468" s="2">
        <v>872</v>
      </c>
      <c r="B468" s="2">
        <v>22</v>
      </c>
      <c r="C468" s="8">
        <v>45781</v>
      </c>
      <c r="D468" s="2" t="s">
        <v>12</v>
      </c>
      <c r="E468" s="2" t="s">
        <v>13</v>
      </c>
    </row>
    <row r="469" spans="1:5" x14ac:dyDescent="0.25">
      <c r="A469" s="2">
        <v>1264</v>
      </c>
      <c r="B469" s="2">
        <v>32</v>
      </c>
      <c r="C469" s="8">
        <v>45841</v>
      </c>
      <c r="D469" s="2" t="s">
        <v>15</v>
      </c>
      <c r="E469" s="2" t="s">
        <v>18</v>
      </c>
    </row>
    <row r="470" spans="1:5" x14ac:dyDescent="0.25">
      <c r="A470" s="2">
        <v>1816</v>
      </c>
      <c r="B470" s="2">
        <v>47</v>
      </c>
      <c r="C470" s="8">
        <v>45943</v>
      </c>
      <c r="D470" s="2" t="s">
        <v>20</v>
      </c>
      <c r="E470" s="2" t="s">
        <v>13</v>
      </c>
    </row>
    <row r="471" spans="1:5" x14ac:dyDescent="0.25">
      <c r="A471" s="2">
        <v>1207</v>
      </c>
      <c r="B471" s="2">
        <v>31</v>
      </c>
      <c r="C471" s="8">
        <v>45856</v>
      </c>
      <c r="D471" s="2" t="s">
        <v>20</v>
      </c>
      <c r="E471" s="2" t="s">
        <v>13</v>
      </c>
    </row>
    <row r="472" spans="1:5" x14ac:dyDescent="0.25">
      <c r="A472" s="2">
        <v>1628</v>
      </c>
      <c r="B472" s="2">
        <v>42</v>
      </c>
      <c r="C472" s="8">
        <v>45902</v>
      </c>
      <c r="D472" s="2" t="s">
        <v>20</v>
      </c>
      <c r="E472" s="2" t="s">
        <v>16</v>
      </c>
    </row>
    <row r="473" spans="1:5" x14ac:dyDescent="0.25">
      <c r="A473" s="2">
        <v>1274</v>
      </c>
      <c r="B473" s="2">
        <v>33</v>
      </c>
      <c r="C473" s="8">
        <v>45856</v>
      </c>
      <c r="D473" s="2" t="s">
        <v>20</v>
      </c>
      <c r="E473" s="2" t="s">
        <v>13</v>
      </c>
    </row>
    <row r="474" spans="1:5" x14ac:dyDescent="0.25">
      <c r="A474" s="2">
        <v>1983</v>
      </c>
      <c r="B474" s="2">
        <v>52</v>
      </c>
      <c r="C474" s="8">
        <v>45987</v>
      </c>
      <c r="D474" s="2" t="s">
        <v>15</v>
      </c>
      <c r="E474" s="2" t="s">
        <v>18</v>
      </c>
    </row>
    <row r="475" spans="1:5" x14ac:dyDescent="0.25">
      <c r="A475" s="2">
        <v>1413</v>
      </c>
      <c r="B475" s="2">
        <v>37</v>
      </c>
      <c r="C475" s="8">
        <v>45874</v>
      </c>
      <c r="D475" s="2" t="s">
        <v>20</v>
      </c>
      <c r="E475" s="2" t="s">
        <v>18</v>
      </c>
    </row>
    <row r="476" spans="1:5" x14ac:dyDescent="0.25">
      <c r="A476" s="2">
        <v>814</v>
      </c>
      <c r="B476" s="2">
        <v>20</v>
      </c>
      <c r="C476" s="8">
        <v>45757</v>
      </c>
      <c r="D476" s="2" t="s">
        <v>19</v>
      </c>
      <c r="E476" s="2" t="s">
        <v>16</v>
      </c>
    </row>
    <row r="477" spans="1:5" x14ac:dyDescent="0.25">
      <c r="A477" s="2">
        <v>1205</v>
      </c>
      <c r="B477" s="2">
        <v>31</v>
      </c>
      <c r="C477" s="8">
        <v>45860</v>
      </c>
      <c r="D477" s="2" t="s">
        <v>12</v>
      </c>
      <c r="E477" s="2" t="s">
        <v>18</v>
      </c>
    </row>
    <row r="478" spans="1:5" x14ac:dyDescent="0.25">
      <c r="A478" s="2">
        <v>120</v>
      </c>
      <c r="B478" s="2">
        <v>3</v>
      </c>
      <c r="C478" s="8">
        <v>45673</v>
      </c>
      <c r="D478" s="2" t="s">
        <v>20</v>
      </c>
      <c r="E478" s="2" t="s">
        <v>16</v>
      </c>
    </row>
    <row r="479" spans="1:5" x14ac:dyDescent="0.25">
      <c r="A479" s="2">
        <v>26</v>
      </c>
      <c r="B479" s="2">
        <v>1</v>
      </c>
      <c r="C479" s="8">
        <v>45679</v>
      </c>
      <c r="D479" s="2" t="s">
        <v>20</v>
      </c>
      <c r="E479" s="2" t="s">
        <v>13</v>
      </c>
    </row>
    <row r="480" spans="1:5" x14ac:dyDescent="0.25">
      <c r="A480" s="2">
        <v>336</v>
      </c>
      <c r="B480" s="2">
        <v>8</v>
      </c>
      <c r="C480" s="8">
        <v>45716</v>
      </c>
      <c r="D480" s="2" t="s">
        <v>19</v>
      </c>
      <c r="E480" s="2" t="s">
        <v>13</v>
      </c>
    </row>
    <row r="481" spans="1:5" x14ac:dyDescent="0.25">
      <c r="A481" s="2">
        <v>1989</v>
      </c>
      <c r="B481" s="2">
        <v>52</v>
      </c>
      <c r="C481" s="8">
        <v>45973</v>
      </c>
      <c r="D481" s="2" t="s">
        <v>12</v>
      </c>
      <c r="E481" s="2" t="s">
        <v>18</v>
      </c>
    </row>
    <row r="482" spans="1:5" x14ac:dyDescent="0.25">
      <c r="A482" s="2">
        <v>2083</v>
      </c>
      <c r="B482" s="2">
        <v>57</v>
      </c>
      <c r="C482" s="8">
        <v>45992</v>
      </c>
      <c r="D482" s="2" t="s">
        <v>20</v>
      </c>
      <c r="E482" s="2" t="s">
        <v>13</v>
      </c>
    </row>
    <row r="483" spans="1:5" x14ac:dyDescent="0.25">
      <c r="A483" s="2">
        <v>1486</v>
      </c>
      <c r="B483" s="2">
        <v>38</v>
      </c>
      <c r="C483" s="8">
        <v>45877</v>
      </c>
      <c r="D483" s="2" t="s">
        <v>12</v>
      </c>
      <c r="E483" s="2" t="s">
        <v>16</v>
      </c>
    </row>
    <row r="484" spans="1:5" x14ac:dyDescent="0.25">
      <c r="A484" s="2">
        <v>90</v>
      </c>
      <c r="B484" s="2">
        <v>3</v>
      </c>
      <c r="C484" s="8">
        <v>45672</v>
      </c>
      <c r="D484" s="2" t="s">
        <v>19</v>
      </c>
      <c r="E484" s="2" t="s">
        <v>18</v>
      </c>
    </row>
    <row r="485" spans="1:5" x14ac:dyDescent="0.25">
      <c r="A485" s="2">
        <v>323</v>
      </c>
      <c r="B485" s="2">
        <v>8</v>
      </c>
      <c r="C485" s="8">
        <v>45695</v>
      </c>
      <c r="D485" s="2" t="s">
        <v>20</v>
      </c>
      <c r="E485" s="2" t="s">
        <v>18</v>
      </c>
    </row>
    <row r="486" spans="1:5" x14ac:dyDescent="0.25">
      <c r="A486" s="2">
        <v>1943</v>
      </c>
      <c r="B486" s="2">
        <v>50</v>
      </c>
      <c r="C486" s="8">
        <v>45942</v>
      </c>
      <c r="D486" s="2" t="s">
        <v>20</v>
      </c>
      <c r="E486" s="2" t="s">
        <v>14</v>
      </c>
    </row>
    <row r="487" spans="1:5" x14ac:dyDescent="0.25">
      <c r="A487" s="2">
        <v>2034</v>
      </c>
      <c r="B487" s="2">
        <v>53</v>
      </c>
      <c r="C487" s="8">
        <v>45977</v>
      </c>
      <c r="D487" s="2" t="s">
        <v>12</v>
      </c>
      <c r="E487" s="2" t="s">
        <v>16</v>
      </c>
    </row>
    <row r="488" spans="1:5" x14ac:dyDescent="0.25">
      <c r="A488" s="2">
        <v>254</v>
      </c>
      <c r="B488" s="2">
        <v>6</v>
      </c>
      <c r="C488" s="8">
        <v>45711</v>
      </c>
      <c r="D488" s="2" t="s">
        <v>12</v>
      </c>
      <c r="E488" s="2" t="s">
        <v>13</v>
      </c>
    </row>
    <row r="489" spans="1:5" x14ac:dyDescent="0.25">
      <c r="A489" s="2">
        <v>918</v>
      </c>
      <c r="B489" s="2">
        <v>23</v>
      </c>
      <c r="C489" s="8">
        <v>45805</v>
      </c>
      <c r="D489" s="2" t="s">
        <v>12</v>
      </c>
      <c r="E489" s="2" t="s">
        <v>13</v>
      </c>
    </row>
    <row r="490" spans="1:5" x14ac:dyDescent="0.25">
      <c r="A490" s="2">
        <v>1342</v>
      </c>
      <c r="B490" s="2">
        <v>33</v>
      </c>
      <c r="C490" s="8">
        <v>45861</v>
      </c>
      <c r="D490" s="2" t="s">
        <v>17</v>
      </c>
      <c r="E490" s="2" t="s">
        <v>18</v>
      </c>
    </row>
    <row r="491" spans="1:5" x14ac:dyDescent="0.25">
      <c r="A491" s="2">
        <v>502</v>
      </c>
      <c r="B491" s="2">
        <v>12</v>
      </c>
      <c r="C491" s="8">
        <v>45726</v>
      </c>
      <c r="D491" s="2" t="s">
        <v>19</v>
      </c>
      <c r="E491" s="2" t="s">
        <v>18</v>
      </c>
    </row>
    <row r="492" spans="1:5" x14ac:dyDescent="0.25">
      <c r="A492" s="2">
        <v>1126</v>
      </c>
      <c r="B492" s="2">
        <v>28</v>
      </c>
      <c r="C492" s="8">
        <v>45812</v>
      </c>
      <c r="D492" s="2" t="s">
        <v>12</v>
      </c>
      <c r="E492" s="2" t="s">
        <v>13</v>
      </c>
    </row>
    <row r="493" spans="1:5" x14ac:dyDescent="0.25">
      <c r="A493" s="2">
        <v>393</v>
      </c>
      <c r="B493" s="2">
        <v>9</v>
      </c>
      <c r="C493" s="8">
        <v>45693</v>
      </c>
      <c r="D493" s="2" t="s">
        <v>12</v>
      </c>
      <c r="E493" s="2" t="s">
        <v>18</v>
      </c>
    </row>
    <row r="494" spans="1:5" x14ac:dyDescent="0.25">
      <c r="A494" s="2">
        <v>1021</v>
      </c>
      <c r="B494" s="2">
        <v>26</v>
      </c>
      <c r="C494" s="8">
        <v>45819</v>
      </c>
      <c r="D494" s="2" t="s">
        <v>12</v>
      </c>
      <c r="E494" s="2" t="s">
        <v>14</v>
      </c>
    </row>
    <row r="495" spans="1:5" x14ac:dyDescent="0.25">
      <c r="A495" s="2">
        <v>1234</v>
      </c>
      <c r="B495" s="2">
        <v>32</v>
      </c>
      <c r="C495" s="8">
        <v>45848</v>
      </c>
      <c r="D495" s="2" t="s">
        <v>19</v>
      </c>
      <c r="E495" s="2" t="s">
        <v>16</v>
      </c>
    </row>
    <row r="496" spans="1:5" x14ac:dyDescent="0.25">
      <c r="A496" s="2">
        <v>1055</v>
      </c>
      <c r="B496" s="2">
        <v>27</v>
      </c>
      <c r="C496" s="8">
        <v>45834</v>
      </c>
      <c r="D496" s="2" t="s">
        <v>12</v>
      </c>
      <c r="E496" s="2" t="s">
        <v>16</v>
      </c>
    </row>
    <row r="497" spans="1:5" x14ac:dyDescent="0.25">
      <c r="A497" s="2">
        <v>1711</v>
      </c>
      <c r="B497" s="2">
        <v>44</v>
      </c>
      <c r="C497" s="8">
        <v>45902</v>
      </c>
      <c r="D497" s="2" t="s">
        <v>20</v>
      </c>
      <c r="E497" s="2" t="s">
        <v>18</v>
      </c>
    </row>
    <row r="498" spans="1:5" x14ac:dyDescent="0.25">
      <c r="A498" s="2">
        <v>1262</v>
      </c>
      <c r="B498" s="2">
        <v>32</v>
      </c>
      <c r="C498" s="8">
        <v>45859</v>
      </c>
      <c r="D498" s="2" t="s">
        <v>15</v>
      </c>
      <c r="E498" s="2" t="s">
        <v>16</v>
      </c>
    </row>
    <row r="499" spans="1:5" x14ac:dyDescent="0.25">
      <c r="A499" s="2">
        <v>161</v>
      </c>
      <c r="B499" s="2">
        <v>3</v>
      </c>
      <c r="C499" s="8">
        <v>45678</v>
      </c>
      <c r="D499" s="2" t="s">
        <v>12</v>
      </c>
      <c r="E499" s="2" t="s">
        <v>14</v>
      </c>
    </row>
    <row r="500" spans="1:5" x14ac:dyDescent="0.25">
      <c r="A500" s="2">
        <v>1134</v>
      </c>
      <c r="B500" s="2">
        <v>28</v>
      </c>
      <c r="C500" s="8">
        <v>45819</v>
      </c>
      <c r="D500" s="2" t="s">
        <v>12</v>
      </c>
      <c r="E500" s="2" t="s">
        <v>16</v>
      </c>
    </row>
    <row r="501" spans="1:5" x14ac:dyDescent="0.25">
      <c r="A501" s="2">
        <v>2089</v>
      </c>
      <c r="B501" s="2">
        <v>57</v>
      </c>
      <c r="C501" s="8">
        <v>45995</v>
      </c>
      <c r="D501" s="2" t="s">
        <v>12</v>
      </c>
      <c r="E501" s="2" t="s">
        <v>16</v>
      </c>
    </row>
    <row r="502" spans="1:5" x14ac:dyDescent="0.25">
      <c r="A502" s="2">
        <v>460</v>
      </c>
      <c r="B502" s="2">
        <v>11</v>
      </c>
      <c r="C502" s="8">
        <v>45742</v>
      </c>
      <c r="D502" s="2" t="s">
        <v>20</v>
      </c>
      <c r="E502" s="2" t="s">
        <v>14</v>
      </c>
    </row>
    <row r="503" spans="1:5" x14ac:dyDescent="0.25">
      <c r="A503" s="2">
        <v>1634</v>
      </c>
      <c r="B503" s="2">
        <v>43</v>
      </c>
      <c r="C503" s="8">
        <v>45917</v>
      </c>
      <c r="D503" s="2" t="s">
        <v>19</v>
      </c>
      <c r="E503" s="2" t="s">
        <v>16</v>
      </c>
    </row>
    <row r="504" spans="1:5" x14ac:dyDescent="0.25">
      <c r="A504" s="2">
        <v>41</v>
      </c>
      <c r="B504" s="2">
        <v>2</v>
      </c>
      <c r="C504" s="8">
        <v>45663</v>
      </c>
      <c r="D504" s="2" t="s">
        <v>20</v>
      </c>
      <c r="E504" s="2" t="s">
        <v>18</v>
      </c>
    </row>
    <row r="505" spans="1:5" x14ac:dyDescent="0.25">
      <c r="A505" s="2">
        <v>481</v>
      </c>
      <c r="B505" s="2">
        <v>12</v>
      </c>
      <c r="C505" s="8">
        <v>45730</v>
      </c>
      <c r="D505" s="2" t="s">
        <v>12</v>
      </c>
      <c r="E505" s="2" t="s">
        <v>13</v>
      </c>
    </row>
    <row r="506" spans="1:5" x14ac:dyDescent="0.25">
      <c r="A506" s="2">
        <v>1441</v>
      </c>
      <c r="B506" s="2">
        <v>38</v>
      </c>
      <c r="C506" s="8">
        <v>45870</v>
      </c>
      <c r="D506" s="2" t="s">
        <v>20</v>
      </c>
      <c r="E506" s="2" t="s">
        <v>14</v>
      </c>
    </row>
    <row r="507" spans="1:5" x14ac:dyDescent="0.25">
      <c r="A507" s="2">
        <v>2013</v>
      </c>
      <c r="B507" s="2">
        <v>53</v>
      </c>
      <c r="C507" s="8">
        <v>45983</v>
      </c>
      <c r="D507" s="2" t="s">
        <v>17</v>
      </c>
      <c r="E507" s="2" t="s">
        <v>14</v>
      </c>
    </row>
    <row r="508" spans="1:5" x14ac:dyDescent="0.25">
      <c r="A508" s="2">
        <v>753</v>
      </c>
      <c r="B508" s="2">
        <v>18</v>
      </c>
      <c r="C508" s="8">
        <v>45758</v>
      </c>
      <c r="D508" s="2" t="s">
        <v>12</v>
      </c>
      <c r="E508" s="2" t="s">
        <v>14</v>
      </c>
    </row>
    <row r="509" spans="1:5" x14ac:dyDescent="0.25">
      <c r="A509" s="2">
        <v>552</v>
      </c>
      <c r="B509" s="2">
        <v>13</v>
      </c>
      <c r="C509" s="8">
        <v>45742</v>
      </c>
      <c r="D509" s="2" t="s">
        <v>20</v>
      </c>
      <c r="E509" s="2" t="s">
        <v>16</v>
      </c>
    </row>
    <row r="510" spans="1:5" x14ac:dyDescent="0.25">
      <c r="A510" s="2">
        <v>1499</v>
      </c>
      <c r="B510" s="2">
        <v>38</v>
      </c>
      <c r="C510" s="8">
        <v>45878</v>
      </c>
      <c r="D510" s="2" t="s">
        <v>15</v>
      </c>
      <c r="E510" s="2" t="s">
        <v>16</v>
      </c>
    </row>
    <row r="511" spans="1:5" x14ac:dyDescent="0.25">
      <c r="A511" s="2">
        <v>433</v>
      </c>
      <c r="B511" s="2">
        <v>10</v>
      </c>
      <c r="C511" s="8">
        <v>45709</v>
      </c>
      <c r="D511" s="2" t="s">
        <v>12</v>
      </c>
      <c r="E511" s="2" t="s">
        <v>18</v>
      </c>
    </row>
    <row r="512" spans="1:5" x14ac:dyDescent="0.25">
      <c r="A512" s="2">
        <v>614</v>
      </c>
      <c r="B512" s="2">
        <v>14</v>
      </c>
      <c r="C512" s="8">
        <v>45739</v>
      </c>
      <c r="D512" s="2" t="s">
        <v>12</v>
      </c>
      <c r="E512" s="2" t="s">
        <v>18</v>
      </c>
    </row>
    <row r="513" spans="1:5" x14ac:dyDescent="0.25">
      <c r="A513" s="2">
        <v>983</v>
      </c>
      <c r="B513" s="2">
        <v>24</v>
      </c>
      <c r="C513" s="8">
        <v>45801</v>
      </c>
      <c r="D513" s="2" t="s">
        <v>17</v>
      </c>
      <c r="E513" s="2" t="s">
        <v>18</v>
      </c>
    </row>
    <row r="514" spans="1:5" x14ac:dyDescent="0.25">
      <c r="A514" s="2">
        <v>368</v>
      </c>
      <c r="B514" s="2">
        <v>8</v>
      </c>
      <c r="C514" s="8">
        <v>45704</v>
      </c>
      <c r="D514" s="2" t="s">
        <v>12</v>
      </c>
      <c r="E514" s="2" t="s">
        <v>18</v>
      </c>
    </row>
    <row r="515" spans="1:5" x14ac:dyDescent="0.25">
      <c r="A515" s="2">
        <v>38</v>
      </c>
      <c r="B515" s="2">
        <v>2</v>
      </c>
      <c r="C515" s="8">
        <v>45667</v>
      </c>
      <c r="D515" s="2" t="s">
        <v>20</v>
      </c>
      <c r="E515" s="2" t="s">
        <v>16</v>
      </c>
    </row>
    <row r="516" spans="1:5" x14ac:dyDescent="0.25">
      <c r="A516" s="2">
        <v>478</v>
      </c>
      <c r="B516" s="2">
        <v>12</v>
      </c>
      <c r="C516" s="8">
        <v>45736</v>
      </c>
      <c r="D516" s="2" t="s">
        <v>15</v>
      </c>
      <c r="E516" s="2" t="s">
        <v>18</v>
      </c>
    </row>
    <row r="517" spans="1:5" x14ac:dyDescent="0.25">
      <c r="A517" s="2">
        <v>937</v>
      </c>
      <c r="B517" s="2">
        <v>23</v>
      </c>
      <c r="C517" s="8">
        <v>45796</v>
      </c>
      <c r="D517" s="2" t="s">
        <v>19</v>
      </c>
      <c r="E517" s="2" t="s">
        <v>13</v>
      </c>
    </row>
    <row r="518" spans="1:5" x14ac:dyDescent="0.25">
      <c r="A518" s="2">
        <v>592</v>
      </c>
      <c r="B518" s="2">
        <v>13</v>
      </c>
      <c r="C518" s="8">
        <v>45739</v>
      </c>
      <c r="D518" s="2" t="s">
        <v>17</v>
      </c>
      <c r="E518" s="2" t="s">
        <v>13</v>
      </c>
    </row>
    <row r="519" spans="1:5" x14ac:dyDescent="0.25">
      <c r="A519" s="2">
        <v>1539</v>
      </c>
      <c r="B519" s="2">
        <v>39</v>
      </c>
      <c r="C519" s="8">
        <v>45875</v>
      </c>
      <c r="D519" s="2" t="s">
        <v>15</v>
      </c>
      <c r="E519" s="2" t="s">
        <v>16</v>
      </c>
    </row>
    <row r="520" spans="1:5" x14ac:dyDescent="0.25">
      <c r="A520" s="2">
        <v>1774</v>
      </c>
      <c r="B520" s="2">
        <v>46</v>
      </c>
      <c r="C520" s="8">
        <v>45938</v>
      </c>
      <c r="D520" s="2" t="s">
        <v>19</v>
      </c>
      <c r="E520" s="2" t="s">
        <v>13</v>
      </c>
    </row>
    <row r="521" spans="1:5" x14ac:dyDescent="0.25">
      <c r="A521" s="2">
        <v>574</v>
      </c>
      <c r="B521" s="2">
        <v>13</v>
      </c>
      <c r="C521" s="8">
        <v>45741</v>
      </c>
      <c r="D521" s="2" t="s">
        <v>17</v>
      </c>
      <c r="E521" s="2" t="s">
        <v>14</v>
      </c>
    </row>
    <row r="522" spans="1:5" x14ac:dyDescent="0.25">
      <c r="A522" s="2">
        <v>1874</v>
      </c>
      <c r="B522" s="2">
        <v>48</v>
      </c>
      <c r="C522" s="8">
        <v>45956</v>
      </c>
      <c r="D522" s="2" t="s">
        <v>17</v>
      </c>
      <c r="E522" s="2" t="s">
        <v>16</v>
      </c>
    </row>
    <row r="523" spans="1:5" x14ac:dyDescent="0.25">
      <c r="A523" s="2">
        <v>271</v>
      </c>
      <c r="B523" s="2">
        <v>7</v>
      </c>
      <c r="C523" s="8">
        <v>45710</v>
      </c>
      <c r="D523" s="2" t="s">
        <v>15</v>
      </c>
      <c r="E523" s="2" t="s">
        <v>18</v>
      </c>
    </row>
    <row r="524" spans="1:5" x14ac:dyDescent="0.25">
      <c r="A524" s="2">
        <v>835</v>
      </c>
      <c r="B524" s="2">
        <v>21</v>
      </c>
      <c r="C524" s="8">
        <v>45783</v>
      </c>
      <c r="D524" s="2" t="s">
        <v>19</v>
      </c>
      <c r="E524" s="2" t="s">
        <v>18</v>
      </c>
    </row>
    <row r="525" spans="1:5" x14ac:dyDescent="0.25">
      <c r="A525" s="2">
        <v>1810</v>
      </c>
      <c r="B525" s="2">
        <v>47</v>
      </c>
      <c r="C525" s="8">
        <v>45958</v>
      </c>
      <c r="D525" s="2" t="s">
        <v>15</v>
      </c>
      <c r="E525" s="2" t="s">
        <v>13</v>
      </c>
    </row>
    <row r="526" spans="1:5" x14ac:dyDescent="0.25">
      <c r="A526" s="2">
        <v>128</v>
      </c>
      <c r="B526" s="2">
        <v>3</v>
      </c>
      <c r="C526" s="8">
        <v>45667</v>
      </c>
      <c r="D526" s="2" t="s">
        <v>12</v>
      </c>
      <c r="E526" s="2" t="s">
        <v>16</v>
      </c>
    </row>
    <row r="527" spans="1:5" x14ac:dyDescent="0.25">
      <c r="A527" s="2">
        <v>1600</v>
      </c>
      <c r="B527" s="2">
        <v>42</v>
      </c>
      <c r="C527" s="8">
        <v>45903</v>
      </c>
      <c r="D527" s="2" t="s">
        <v>19</v>
      </c>
      <c r="E527" s="2" t="s">
        <v>18</v>
      </c>
    </row>
    <row r="528" spans="1:5" x14ac:dyDescent="0.25">
      <c r="A528" s="2">
        <v>706</v>
      </c>
      <c r="B528" s="2">
        <v>18</v>
      </c>
      <c r="C528" s="8">
        <v>45772</v>
      </c>
      <c r="D528" s="2" t="s">
        <v>20</v>
      </c>
      <c r="E528" s="2" t="s">
        <v>18</v>
      </c>
    </row>
    <row r="529" spans="1:5" x14ac:dyDescent="0.25">
      <c r="A529" s="2">
        <v>276</v>
      </c>
      <c r="B529" s="2">
        <v>7</v>
      </c>
      <c r="C529" s="8">
        <v>45702</v>
      </c>
      <c r="D529" s="2" t="s">
        <v>12</v>
      </c>
      <c r="E529" s="2" t="s">
        <v>14</v>
      </c>
    </row>
    <row r="530" spans="1:5" x14ac:dyDescent="0.25">
      <c r="A530" s="2">
        <v>371</v>
      </c>
      <c r="B530" s="2">
        <v>8</v>
      </c>
      <c r="C530" s="8">
        <v>45706</v>
      </c>
      <c r="D530" s="2" t="s">
        <v>20</v>
      </c>
      <c r="E530" s="2" t="s">
        <v>16</v>
      </c>
    </row>
    <row r="531" spans="1:5" x14ac:dyDescent="0.25">
      <c r="A531" s="2">
        <v>1696</v>
      </c>
      <c r="B531" s="2">
        <v>43</v>
      </c>
      <c r="C531" s="8">
        <v>45924</v>
      </c>
      <c r="D531" s="2" t="s">
        <v>20</v>
      </c>
      <c r="E531" s="2" t="s">
        <v>13</v>
      </c>
    </row>
    <row r="532" spans="1:5" x14ac:dyDescent="0.25">
      <c r="A532" s="2">
        <v>40</v>
      </c>
      <c r="B532" s="2">
        <v>2</v>
      </c>
      <c r="C532" s="8">
        <v>45674</v>
      </c>
      <c r="D532" s="2" t="s">
        <v>15</v>
      </c>
      <c r="E532" s="2" t="s">
        <v>16</v>
      </c>
    </row>
    <row r="533" spans="1:5" x14ac:dyDescent="0.25">
      <c r="A533" s="2">
        <v>405</v>
      </c>
      <c r="B533" s="2">
        <v>9</v>
      </c>
      <c r="C533" s="8">
        <v>45703</v>
      </c>
      <c r="D533" s="2" t="s">
        <v>12</v>
      </c>
      <c r="E533" s="2" t="s">
        <v>18</v>
      </c>
    </row>
    <row r="534" spans="1:5" x14ac:dyDescent="0.25">
      <c r="A534" s="2">
        <v>346</v>
      </c>
      <c r="B534" s="2">
        <v>8</v>
      </c>
      <c r="C534" s="8">
        <v>45698</v>
      </c>
      <c r="D534" s="2" t="s">
        <v>19</v>
      </c>
      <c r="E534" s="2" t="s">
        <v>16</v>
      </c>
    </row>
    <row r="535" spans="1:5" x14ac:dyDescent="0.25">
      <c r="A535" s="2">
        <v>1571</v>
      </c>
      <c r="B535" s="2">
        <v>41</v>
      </c>
      <c r="C535" s="8">
        <v>45903</v>
      </c>
      <c r="D535" s="2" t="s">
        <v>12</v>
      </c>
      <c r="E535" s="2" t="s">
        <v>14</v>
      </c>
    </row>
    <row r="536" spans="1:5" x14ac:dyDescent="0.25">
      <c r="A536" s="2">
        <v>1966</v>
      </c>
      <c r="B536" s="2">
        <v>51</v>
      </c>
      <c r="C536" s="8">
        <v>45979</v>
      </c>
      <c r="D536" s="2" t="s">
        <v>20</v>
      </c>
      <c r="E536" s="2" t="s">
        <v>13</v>
      </c>
    </row>
    <row r="537" spans="1:5" x14ac:dyDescent="0.25">
      <c r="A537" s="2">
        <v>88</v>
      </c>
      <c r="B537" s="2">
        <v>3</v>
      </c>
      <c r="C537" s="8">
        <v>45664</v>
      </c>
      <c r="D537" s="2" t="s">
        <v>12</v>
      </c>
      <c r="E537" s="2" t="s">
        <v>13</v>
      </c>
    </row>
    <row r="538" spans="1:5" x14ac:dyDescent="0.25">
      <c r="A538" s="2">
        <v>281</v>
      </c>
      <c r="B538" s="2">
        <v>7</v>
      </c>
      <c r="C538" s="8">
        <v>45700</v>
      </c>
      <c r="D538" s="2" t="s">
        <v>20</v>
      </c>
      <c r="E538" s="2" t="s">
        <v>14</v>
      </c>
    </row>
    <row r="539" spans="1:5" x14ac:dyDescent="0.25">
      <c r="A539" s="2">
        <v>2032</v>
      </c>
      <c r="B539" s="2">
        <v>53</v>
      </c>
      <c r="C539" s="8">
        <v>45975</v>
      </c>
      <c r="D539" s="2" t="s">
        <v>15</v>
      </c>
      <c r="E539" s="2" t="s">
        <v>13</v>
      </c>
    </row>
    <row r="540" spans="1:5" x14ac:dyDescent="0.25">
      <c r="A540" s="2">
        <v>1473</v>
      </c>
      <c r="B540" s="2">
        <v>38</v>
      </c>
      <c r="C540" s="8">
        <v>45888</v>
      </c>
      <c r="D540" s="2" t="s">
        <v>19</v>
      </c>
      <c r="E540" s="2" t="s">
        <v>18</v>
      </c>
    </row>
    <row r="541" spans="1:5" x14ac:dyDescent="0.25">
      <c r="A541" s="2">
        <v>1535</v>
      </c>
      <c r="B541" s="2">
        <v>39</v>
      </c>
      <c r="C541" s="8">
        <v>45874</v>
      </c>
      <c r="D541" s="2" t="s">
        <v>20</v>
      </c>
      <c r="E541" s="2" t="s">
        <v>16</v>
      </c>
    </row>
    <row r="542" spans="1:5" x14ac:dyDescent="0.25">
      <c r="A542" s="2">
        <v>1402</v>
      </c>
      <c r="B542" s="2">
        <v>36</v>
      </c>
      <c r="C542" s="8">
        <v>45873</v>
      </c>
      <c r="D542" s="2" t="s">
        <v>20</v>
      </c>
      <c r="E542" s="2" t="s">
        <v>16</v>
      </c>
    </row>
    <row r="543" spans="1:5" x14ac:dyDescent="0.25">
      <c r="A543" s="2">
        <v>479</v>
      </c>
      <c r="B543" s="2">
        <v>12</v>
      </c>
      <c r="C543" s="8">
        <v>45741</v>
      </c>
      <c r="D543" s="2" t="s">
        <v>12</v>
      </c>
      <c r="E543" s="2" t="s">
        <v>16</v>
      </c>
    </row>
    <row r="544" spans="1:5" x14ac:dyDescent="0.25">
      <c r="A544" s="2">
        <v>1174</v>
      </c>
      <c r="B544" s="2">
        <v>30</v>
      </c>
      <c r="C544" s="8">
        <v>45825</v>
      </c>
      <c r="D544" s="2" t="s">
        <v>20</v>
      </c>
      <c r="E544" s="2" t="s">
        <v>13</v>
      </c>
    </row>
    <row r="545" spans="1:5" x14ac:dyDescent="0.25">
      <c r="A545" s="2">
        <v>167</v>
      </c>
      <c r="B545" s="2">
        <v>3</v>
      </c>
      <c r="C545" s="8">
        <v>45667</v>
      </c>
      <c r="D545" s="2" t="s">
        <v>20</v>
      </c>
      <c r="E545" s="2" t="s">
        <v>18</v>
      </c>
    </row>
    <row r="546" spans="1:5" x14ac:dyDescent="0.25">
      <c r="A546" s="2">
        <v>1009</v>
      </c>
      <c r="B546" s="2">
        <v>26</v>
      </c>
      <c r="C546" s="8">
        <v>45833</v>
      </c>
      <c r="D546" s="2" t="s">
        <v>12</v>
      </c>
      <c r="E546" s="2" t="s">
        <v>13</v>
      </c>
    </row>
    <row r="547" spans="1:5" x14ac:dyDescent="0.25">
      <c r="A547" s="2">
        <v>1436</v>
      </c>
      <c r="B547" s="2">
        <v>37</v>
      </c>
      <c r="C547" s="8">
        <v>45894</v>
      </c>
      <c r="D547" s="2" t="s">
        <v>12</v>
      </c>
      <c r="E547" s="2" t="s">
        <v>18</v>
      </c>
    </row>
    <row r="548" spans="1:5" x14ac:dyDescent="0.25">
      <c r="A548" s="2">
        <v>1391</v>
      </c>
      <c r="B548" s="2">
        <v>36</v>
      </c>
      <c r="C548" s="8">
        <v>45890</v>
      </c>
      <c r="D548" s="2" t="s">
        <v>12</v>
      </c>
      <c r="E548" s="2" t="s">
        <v>18</v>
      </c>
    </row>
    <row r="549" spans="1:5" x14ac:dyDescent="0.25">
      <c r="A549" s="2">
        <v>475</v>
      </c>
      <c r="B549" s="2">
        <v>12</v>
      </c>
      <c r="C549" s="8">
        <v>45727</v>
      </c>
      <c r="D549" s="2" t="s">
        <v>12</v>
      </c>
      <c r="E549" s="2" t="s">
        <v>16</v>
      </c>
    </row>
    <row r="550" spans="1:5" x14ac:dyDescent="0.25">
      <c r="A550" s="2">
        <v>975</v>
      </c>
      <c r="B550" s="2">
        <v>24</v>
      </c>
      <c r="C550" s="8">
        <v>45790</v>
      </c>
      <c r="D550" s="2" t="s">
        <v>12</v>
      </c>
      <c r="E550" s="2" t="s">
        <v>18</v>
      </c>
    </row>
    <row r="551" spans="1:5" x14ac:dyDescent="0.25">
      <c r="A551" s="2">
        <v>749</v>
      </c>
      <c r="B551" s="2">
        <v>18</v>
      </c>
      <c r="C551" s="8">
        <v>45770</v>
      </c>
      <c r="D551" s="2" t="s">
        <v>20</v>
      </c>
      <c r="E551" s="2" t="s">
        <v>18</v>
      </c>
    </row>
    <row r="552" spans="1:5" x14ac:dyDescent="0.25">
      <c r="A552" s="2">
        <v>1311</v>
      </c>
      <c r="B552" s="2">
        <v>33</v>
      </c>
      <c r="C552" s="8">
        <v>45842</v>
      </c>
      <c r="D552" s="2" t="s">
        <v>17</v>
      </c>
      <c r="E552" s="2" t="s">
        <v>16</v>
      </c>
    </row>
    <row r="553" spans="1:5" x14ac:dyDescent="0.25">
      <c r="A553" s="2">
        <v>1777</v>
      </c>
      <c r="B553" s="2">
        <v>46</v>
      </c>
      <c r="C553" s="8">
        <v>45939</v>
      </c>
      <c r="D553" s="2" t="s">
        <v>20</v>
      </c>
      <c r="E553" s="2" t="s">
        <v>13</v>
      </c>
    </row>
    <row r="554" spans="1:5" x14ac:dyDescent="0.25">
      <c r="A554" s="2">
        <v>1260</v>
      </c>
      <c r="B554" s="2">
        <v>32</v>
      </c>
      <c r="C554" s="8">
        <v>45858</v>
      </c>
      <c r="D554" s="2" t="s">
        <v>12</v>
      </c>
      <c r="E554" s="2" t="s">
        <v>18</v>
      </c>
    </row>
    <row r="555" spans="1:5" x14ac:dyDescent="0.25">
      <c r="A555" s="2">
        <v>950</v>
      </c>
      <c r="B555" s="2">
        <v>23</v>
      </c>
      <c r="C555" s="8">
        <v>45784</v>
      </c>
      <c r="D555" s="2" t="s">
        <v>19</v>
      </c>
      <c r="E555" s="2" t="s">
        <v>16</v>
      </c>
    </row>
    <row r="556" spans="1:5" x14ac:dyDescent="0.25">
      <c r="A556" s="2">
        <v>858</v>
      </c>
      <c r="B556" s="2">
        <v>21</v>
      </c>
      <c r="C556" s="8">
        <v>45794</v>
      </c>
      <c r="D556" s="2" t="s">
        <v>12</v>
      </c>
      <c r="E556" s="2" t="s">
        <v>13</v>
      </c>
    </row>
    <row r="557" spans="1:5" x14ac:dyDescent="0.25">
      <c r="A557" s="2">
        <v>1303</v>
      </c>
      <c r="B557" s="2">
        <v>33</v>
      </c>
      <c r="C557" s="8">
        <v>45856</v>
      </c>
      <c r="D557" s="2" t="s">
        <v>12</v>
      </c>
      <c r="E557" s="2" t="s">
        <v>16</v>
      </c>
    </row>
    <row r="558" spans="1:5" x14ac:dyDescent="0.25">
      <c r="A558" s="2">
        <v>1478</v>
      </c>
      <c r="B558" s="2">
        <v>38</v>
      </c>
      <c r="C558" s="8">
        <v>45883</v>
      </c>
      <c r="D558" s="2" t="s">
        <v>19</v>
      </c>
      <c r="E558" s="2" t="s">
        <v>18</v>
      </c>
    </row>
    <row r="559" spans="1:5" x14ac:dyDescent="0.25">
      <c r="A559" s="2">
        <v>1955</v>
      </c>
      <c r="B559" s="2">
        <v>51</v>
      </c>
      <c r="C559" s="8">
        <v>45977</v>
      </c>
      <c r="D559" s="2" t="s">
        <v>12</v>
      </c>
      <c r="E559" s="2" t="s">
        <v>13</v>
      </c>
    </row>
    <row r="560" spans="1:5" x14ac:dyDescent="0.25">
      <c r="A560" s="2">
        <v>1720</v>
      </c>
      <c r="B560" s="2">
        <v>44</v>
      </c>
      <c r="C560" s="8">
        <v>45903</v>
      </c>
      <c r="D560" s="2" t="s">
        <v>12</v>
      </c>
      <c r="E560" s="2" t="s">
        <v>18</v>
      </c>
    </row>
    <row r="561" spans="1:5" x14ac:dyDescent="0.25">
      <c r="A561" s="2">
        <v>345</v>
      </c>
      <c r="B561" s="2">
        <v>8</v>
      </c>
      <c r="C561" s="8">
        <v>45713</v>
      </c>
      <c r="D561" s="2" t="s">
        <v>15</v>
      </c>
      <c r="E561" s="2" t="s">
        <v>13</v>
      </c>
    </row>
    <row r="562" spans="1:5" x14ac:dyDescent="0.25">
      <c r="A562" s="2">
        <v>686</v>
      </c>
      <c r="B562" s="2">
        <v>17</v>
      </c>
      <c r="C562" s="8">
        <v>45765</v>
      </c>
      <c r="D562" s="2" t="s">
        <v>12</v>
      </c>
      <c r="E562" s="2" t="s">
        <v>16</v>
      </c>
    </row>
    <row r="563" spans="1:5" x14ac:dyDescent="0.25">
      <c r="A563" s="2">
        <v>1168</v>
      </c>
      <c r="B563" s="2">
        <v>29</v>
      </c>
      <c r="C563" s="8">
        <v>45811</v>
      </c>
      <c r="D563" s="2" t="s">
        <v>20</v>
      </c>
      <c r="E563" s="2" t="s">
        <v>14</v>
      </c>
    </row>
    <row r="564" spans="1:5" x14ac:dyDescent="0.25">
      <c r="A564" s="2">
        <v>707</v>
      </c>
      <c r="B564" s="2">
        <v>18</v>
      </c>
      <c r="C564" s="8">
        <v>45768</v>
      </c>
      <c r="D564" s="2" t="s">
        <v>20</v>
      </c>
      <c r="E564" s="2" t="s">
        <v>13</v>
      </c>
    </row>
    <row r="565" spans="1:5" x14ac:dyDescent="0.25">
      <c r="A565" s="2">
        <v>2099</v>
      </c>
      <c r="B565" s="2">
        <v>57</v>
      </c>
      <c r="C565" s="8">
        <v>46007</v>
      </c>
      <c r="D565" s="2" t="s">
        <v>12</v>
      </c>
      <c r="E565" s="2" t="s">
        <v>16</v>
      </c>
    </row>
    <row r="566" spans="1:5" x14ac:dyDescent="0.25">
      <c r="A566" s="2">
        <v>600</v>
      </c>
      <c r="B566" s="2">
        <v>14</v>
      </c>
      <c r="C566" s="8">
        <v>45727</v>
      </c>
      <c r="D566" s="2" t="s">
        <v>15</v>
      </c>
      <c r="E566" s="2" t="s">
        <v>13</v>
      </c>
    </row>
    <row r="567" spans="1:5" x14ac:dyDescent="0.25">
      <c r="A567" s="2">
        <v>678</v>
      </c>
      <c r="B567" s="2">
        <v>17</v>
      </c>
      <c r="C567" s="8">
        <v>45771</v>
      </c>
      <c r="D567" s="2" t="s">
        <v>12</v>
      </c>
      <c r="E567" s="2" t="s">
        <v>14</v>
      </c>
    </row>
    <row r="568" spans="1:5" x14ac:dyDescent="0.25">
      <c r="A568" s="2">
        <v>1290</v>
      </c>
      <c r="B568" s="2">
        <v>33</v>
      </c>
      <c r="C568" s="8">
        <v>45864</v>
      </c>
      <c r="D568" s="2" t="s">
        <v>20</v>
      </c>
      <c r="E568" s="2" t="s">
        <v>13</v>
      </c>
    </row>
    <row r="569" spans="1:5" x14ac:dyDescent="0.25">
      <c r="A569" s="2">
        <v>692</v>
      </c>
      <c r="B569" s="2">
        <v>17</v>
      </c>
      <c r="C569" s="8">
        <v>45772</v>
      </c>
      <c r="D569" s="2" t="s">
        <v>15</v>
      </c>
      <c r="E569" s="2" t="s">
        <v>16</v>
      </c>
    </row>
    <row r="570" spans="1:5" x14ac:dyDescent="0.25">
      <c r="A570" s="2">
        <v>1044</v>
      </c>
      <c r="B570" s="2">
        <v>27</v>
      </c>
      <c r="C570" s="8">
        <v>45812</v>
      </c>
      <c r="D570" s="2" t="s">
        <v>19</v>
      </c>
      <c r="E570" s="2" t="s">
        <v>13</v>
      </c>
    </row>
    <row r="571" spans="1:5" x14ac:dyDescent="0.25">
      <c r="A571" s="2">
        <v>2046</v>
      </c>
      <c r="B571" s="2">
        <v>54</v>
      </c>
      <c r="C571" s="8">
        <v>45973</v>
      </c>
      <c r="D571" s="2" t="s">
        <v>12</v>
      </c>
      <c r="E571" s="2" t="s">
        <v>16</v>
      </c>
    </row>
    <row r="572" spans="1:5" x14ac:dyDescent="0.25">
      <c r="A572" s="2">
        <v>743</v>
      </c>
      <c r="B572" s="2">
        <v>18</v>
      </c>
      <c r="C572" s="8">
        <v>45754</v>
      </c>
      <c r="D572" s="2" t="s">
        <v>20</v>
      </c>
      <c r="E572" s="2" t="s">
        <v>18</v>
      </c>
    </row>
    <row r="573" spans="1:5" x14ac:dyDescent="0.25">
      <c r="A573" s="2">
        <v>757</v>
      </c>
      <c r="B573" s="2">
        <v>18</v>
      </c>
      <c r="C573" s="8">
        <v>45768</v>
      </c>
      <c r="D573" s="2" t="s">
        <v>20</v>
      </c>
      <c r="E573" s="2" t="s">
        <v>18</v>
      </c>
    </row>
    <row r="574" spans="1:5" x14ac:dyDescent="0.25">
      <c r="A574" s="2">
        <v>46</v>
      </c>
      <c r="B574" s="2">
        <v>2</v>
      </c>
      <c r="C574" s="8">
        <v>45680</v>
      </c>
      <c r="D574" s="2" t="s">
        <v>12</v>
      </c>
      <c r="E574" s="2" t="s">
        <v>18</v>
      </c>
    </row>
    <row r="575" spans="1:5" x14ac:dyDescent="0.25">
      <c r="A575" s="2">
        <v>1037</v>
      </c>
      <c r="B575" s="2">
        <v>27</v>
      </c>
      <c r="C575" s="8">
        <v>45823</v>
      </c>
      <c r="D575" s="2" t="s">
        <v>19</v>
      </c>
      <c r="E575" s="2" t="s">
        <v>18</v>
      </c>
    </row>
    <row r="576" spans="1:5" x14ac:dyDescent="0.25">
      <c r="A576" s="2">
        <v>1789</v>
      </c>
      <c r="B576" s="2">
        <v>46</v>
      </c>
      <c r="C576" s="8">
        <v>45940</v>
      </c>
      <c r="D576" s="2" t="s">
        <v>19</v>
      </c>
      <c r="E576" s="2" t="s">
        <v>16</v>
      </c>
    </row>
    <row r="577" spans="1:5" x14ac:dyDescent="0.25">
      <c r="A577" s="2">
        <v>1835</v>
      </c>
      <c r="B577" s="2">
        <v>47</v>
      </c>
      <c r="C577" s="8">
        <v>45956</v>
      </c>
      <c r="D577" s="2" t="s">
        <v>15</v>
      </c>
      <c r="E577" s="2" t="s">
        <v>14</v>
      </c>
    </row>
    <row r="578" spans="1:5" x14ac:dyDescent="0.25">
      <c r="A578" s="2">
        <v>1585</v>
      </c>
      <c r="B578" s="2">
        <v>42</v>
      </c>
      <c r="C578" s="8">
        <v>45901</v>
      </c>
      <c r="D578" s="2" t="s">
        <v>12</v>
      </c>
      <c r="E578" s="2" t="s">
        <v>18</v>
      </c>
    </row>
    <row r="579" spans="1:5" x14ac:dyDescent="0.25">
      <c r="A579" s="2">
        <v>2120</v>
      </c>
      <c r="B579" s="2">
        <v>58</v>
      </c>
      <c r="C579" s="8">
        <v>46012</v>
      </c>
      <c r="D579" s="2" t="s">
        <v>12</v>
      </c>
      <c r="E579" s="2" t="s">
        <v>18</v>
      </c>
    </row>
    <row r="580" spans="1:5" x14ac:dyDescent="0.25">
      <c r="A580" s="2">
        <v>1495</v>
      </c>
      <c r="B580" s="2">
        <v>38</v>
      </c>
      <c r="C580" s="8">
        <v>45871</v>
      </c>
      <c r="D580" s="2" t="s">
        <v>12</v>
      </c>
      <c r="E580" s="2" t="s">
        <v>18</v>
      </c>
    </row>
    <row r="581" spans="1:5" x14ac:dyDescent="0.25">
      <c r="A581" s="2">
        <v>1024</v>
      </c>
      <c r="B581" s="2">
        <v>26</v>
      </c>
      <c r="C581" s="8">
        <v>45824</v>
      </c>
      <c r="D581" s="2" t="s">
        <v>12</v>
      </c>
      <c r="E581" s="2" t="s">
        <v>18</v>
      </c>
    </row>
    <row r="582" spans="1:5" x14ac:dyDescent="0.25">
      <c r="A582" s="2">
        <v>1563</v>
      </c>
      <c r="B582" s="2">
        <v>41</v>
      </c>
      <c r="C582" s="8">
        <v>45916</v>
      </c>
      <c r="D582" s="2" t="s">
        <v>12</v>
      </c>
      <c r="E582" s="2" t="s">
        <v>16</v>
      </c>
    </row>
    <row r="583" spans="1:5" x14ac:dyDescent="0.25">
      <c r="A583" s="2">
        <v>87</v>
      </c>
      <c r="B583" s="2">
        <v>3</v>
      </c>
      <c r="C583" s="8" t="s">
        <v>29</v>
      </c>
      <c r="D583" s="2" t="s">
        <v>20</v>
      </c>
      <c r="E583" s="2" t="s">
        <v>18</v>
      </c>
    </row>
    <row r="584" spans="1:5" x14ac:dyDescent="0.25">
      <c r="A584" s="2">
        <v>1019</v>
      </c>
      <c r="B584" s="2">
        <v>26</v>
      </c>
      <c r="C584" s="8">
        <v>45833</v>
      </c>
      <c r="D584" s="2" t="s">
        <v>17</v>
      </c>
      <c r="E584" s="2" t="s">
        <v>18</v>
      </c>
    </row>
    <row r="585" spans="1:5" x14ac:dyDescent="0.25">
      <c r="A585" s="2">
        <v>1103</v>
      </c>
      <c r="B585" s="2">
        <v>28</v>
      </c>
      <c r="C585" s="8">
        <v>45829</v>
      </c>
      <c r="D585" s="2" t="s">
        <v>15</v>
      </c>
      <c r="E585" s="2" t="s">
        <v>14</v>
      </c>
    </row>
    <row r="586" spans="1:5" x14ac:dyDescent="0.25">
      <c r="A586" s="2">
        <v>1743</v>
      </c>
      <c r="B586" s="2">
        <v>45</v>
      </c>
      <c r="C586" s="8">
        <v>45913</v>
      </c>
      <c r="D586" s="2" t="s">
        <v>20</v>
      </c>
      <c r="E586" s="2" t="s">
        <v>13</v>
      </c>
    </row>
    <row r="587" spans="1:5" x14ac:dyDescent="0.25">
      <c r="A587" s="2">
        <v>277</v>
      </c>
      <c r="B587" s="2">
        <v>7</v>
      </c>
      <c r="C587" s="8">
        <v>45693</v>
      </c>
      <c r="D587" s="2" t="s">
        <v>19</v>
      </c>
      <c r="E587" s="2" t="s">
        <v>18</v>
      </c>
    </row>
    <row r="588" spans="1:5" x14ac:dyDescent="0.25">
      <c r="A588" s="2">
        <v>908</v>
      </c>
      <c r="B588" s="2">
        <v>22</v>
      </c>
      <c r="C588" s="8">
        <v>45797</v>
      </c>
      <c r="D588" s="2" t="s">
        <v>20</v>
      </c>
      <c r="E588" s="2" t="s">
        <v>18</v>
      </c>
    </row>
    <row r="589" spans="1:5" x14ac:dyDescent="0.25">
      <c r="A589" s="2">
        <v>764</v>
      </c>
      <c r="B589" s="2">
        <v>18</v>
      </c>
      <c r="C589" s="8">
        <v>45751</v>
      </c>
      <c r="D589" s="2" t="s">
        <v>12</v>
      </c>
      <c r="E589" s="2" t="s">
        <v>16</v>
      </c>
    </row>
    <row r="590" spans="1:5" x14ac:dyDescent="0.25">
      <c r="A590" s="2">
        <v>1270</v>
      </c>
      <c r="B590" s="2">
        <v>33</v>
      </c>
      <c r="C590" s="8">
        <v>45861</v>
      </c>
      <c r="D590" s="2" t="s">
        <v>19</v>
      </c>
      <c r="E590" s="2" t="s">
        <v>16</v>
      </c>
    </row>
    <row r="591" spans="1:5" x14ac:dyDescent="0.25">
      <c r="A591" s="2">
        <v>117</v>
      </c>
      <c r="B591" s="2">
        <v>3</v>
      </c>
      <c r="C591" s="8">
        <v>45666</v>
      </c>
      <c r="D591" s="2" t="s">
        <v>12</v>
      </c>
      <c r="E591" s="2" t="s">
        <v>16</v>
      </c>
    </row>
    <row r="592" spans="1:5" x14ac:dyDescent="0.25">
      <c r="A592" s="2">
        <v>465</v>
      </c>
      <c r="B592" s="2">
        <v>12</v>
      </c>
      <c r="C592" s="8">
        <v>45744</v>
      </c>
      <c r="D592" s="2" t="s">
        <v>19</v>
      </c>
      <c r="E592" s="2" t="s">
        <v>18</v>
      </c>
    </row>
    <row r="593" spans="1:5" x14ac:dyDescent="0.25">
      <c r="A593" s="2">
        <v>1865</v>
      </c>
      <c r="B593" s="2">
        <v>48</v>
      </c>
      <c r="C593" s="8">
        <v>45953</v>
      </c>
      <c r="D593" s="2" t="s">
        <v>20</v>
      </c>
      <c r="E593" s="2" t="s">
        <v>13</v>
      </c>
    </row>
    <row r="594" spans="1:5" x14ac:dyDescent="0.25">
      <c r="A594" s="2">
        <v>1387</v>
      </c>
      <c r="B594" s="2">
        <v>35</v>
      </c>
      <c r="C594" s="8">
        <v>45863</v>
      </c>
      <c r="D594" s="2" t="s">
        <v>20</v>
      </c>
      <c r="E594" s="2" t="s">
        <v>14</v>
      </c>
    </row>
    <row r="595" spans="1:5" x14ac:dyDescent="0.25">
      <c r="A595" s="2">
        <v>1982</v>
      </c>
      <c r="B595" s="2">
        <v>52</v>
      </c>
      <c r="C595" s="8">
        <v>45967</v>
      </c>
      <c r="D595" s="2" t="s">
        <v>12</v>
      </c>
      <c r="E595" s="2" t="s">
        <v>16</v>
      </c>
    </row>
    <row r="596" spans="1:5" x14ac:dyDescent="0.25">
      <c r="A596" s="2">
        <v>995</v>
      </c>
      <c r="B596" s="2">
        <v>25</v>
      </c>
      <c r="C596" s="8">
        <v>45787</v>
      </c>
      <c r="D596" s="2" t="s">
        <v>19</v>
      </c>
      <c r="E596" s="2" t="s">
        <v>16</v>
      </c>
    </row>
    <row r="597" spans="1:5" x14ac:dyDescent="0.25">
      <c r="A597" s="2">
        <v>382</v>
      </c>
      <c r="B597" s="2">
        <v>9</v>
      </c>
      <c r="C597" s="8">
        <v>45708</v>
      </c>
      <c r="D597" s="2" t="s">
        <v>20</v>
      </c>
      <c r="E597" s="2" t="s">
        <v>18</v>
      </c>
    </row>
    <row r="598" spans="1:5" x14ac:dyDescent="0.25">
      <c r="A598" s="2">
        <v>952</v>
      </c>
      <c r="B598" s="2">
        <v>23</v>
      </c>
      <c r="C598" s="8">
        <v>45781</v>
      </c>
      <c r="D598" s="2" t="s">
        <v>12</v>
      </c>
      <c r="E598" s="2" t="s">
        <v>14</v>
      </c>
    </row>
    <row r="599" spans="1:5" x14ac:dyDescent="0.25">
      <c r="A599" s="2">
        <v>1490</v>
      </c>
      <c r="B599" s="2">
        <v>38</v>
      </c>
      <c r="C599" s="8">
        <v>45888</v>
      </c>
      <c r="D599" s="2" t="s">
        <v>12</v>
      </c>
      <c r="E599" s="2" t="s">
        <v>13</v>
      </c>
    </row>
    <row r="600" spans="1:5" x14ac:dyDescent="0.25">
      <c r="A600" s="2">
        <v>567</v>
      </c>
      <c r="B600" s="2">
        <v>13</v>
      </c>
      <c r="C600" s="8">
        <v>45742</v>
      </c>
      <c r="D600" s="2" t="s">
        <v>20</v>
      </c>
      <c r="E600" s="2" t="s">
        <v>13</v>
      </c>
    </row>
    <row r="601" spans="1:5" x14ac:dyDescent="0.25">
      <c r="A601" s="2">
        <v>1640</v>
      </c>
      <c r="B601" s="2">
        <v>43</v>
      </c>
      <c r="C601" s="8">
        <v>45912</v>
      </c>
      <c r="D601" s="2" t="s">
        <v>19</v>
      </c>
      <c r="E601" s="2" t="s">
        <v>16</v>
      </c>
    </row>
    <row r="602" spans="1:5" x14ac:dyDescent="0.25">
      <c r="A602" s="2">
        <v>993</v>
      </c>
      <c r="B602" s="2">
        <v>25</v>
      </c>
      <c r="C602" s="8">
        <v>45787</v>
      </c>
      <c r="D602" s="2" t="s">
        <v>20</v>
      </c>
      <c r="E602" s="2" t="s">
        <v>16</v>
      </c>
    </row>
    <row r="603" spans="1:5" x14ac:dyDescent="0.25">
      <c r="A603" s="2">
        <v>1714</v>
      </c>
      <c r="B603" s="2">
        <v>44</v>
      </c>
      <c r="C603" s="8">
        <v>45924</v>
      </c>
      <c r="D603" s="2" t="s">
        <v>12</v>
      </c>
      <c r="E603" s="2" t="s">
        <v>13</v>
      </c>
    </row>
    <row r="604" spans="1:5" x14ac:dyDescent="0.25">
      <c r="A604" s="2">
        <v>1354</v>
      </c>
      <c r="B604" s="2">
        <v>34</v>
      </c>
      <c r="C604" s="8">
        <v>45848</v>
      </c>
      <c r="D604" s="2" t="s">
        <v>12</v>
      </c>
      <c r="E604" s="2" t="s">
        <v>16</v>
      </c>
    </row>
    <row r="605" spans="1:5" x14ac:dyDescent="0.25">
      <c r="A605" s="2">
        <v>1960</v>
      </c>
      <c r="B605" s="2">
        <v>51</v>
      </c>
      <c r="C605" s="8">
        <v>45983</v>
      </c>
      <c r="D605" s="2" t="s">
        <v>20</v>
      </c>
      <c r="E605" s="2" t="s">
        <v>13</v>
      </c>
    </row>
    <row r="606" spans="1:5" x14ac:dyDescent="0.25">
      <c r="A606" s="2">
        <v>1095</v>
      </c>
      <c r="B606" s="2">
        <v>27</v>
      </c>
      <c r="C606" s="8">
        <v>45826</v>
      </c>
      <c r="D606" s="2" t="s">
        <v>20</v>
      </c>
      <c r="E606" s="2" t="s">
        <v>14</v>
      </c>
    </row>
    <row r="607" spans="1:5" x14ac:dyDescent="0.25">
      <c r="A607" s="2">
        <v>287</v>
      </c>
      <c r="B607" s="2">
        <v>7</v>
      </c>
      <c r="C607" s="8">
        <v>45690</v>
      </c>
      <c r="D607" s="2" t="s">
        <v>12</v>
      </c>
      <c r="E607" s="2" t="s">
        <v>13</v>
      </c>
    </row>
    <row r="608" spans="1:5" x14ac:dyDescent="0.25">
      <c r="A608" s="2">
        <v>498</v>
      </c>
      <c r="B608" s="2">
        <v>12</v>
      </c>
      <c r="C608" s="8">
        <v>45742</v>
      </c>
      <c r="D608" s="2" t="s">
        <v>20</v>
      </c>
      <c r="E608" s="2" t="s">
        <v>13</v>
      </c>
    </row>
    <row r="609" spans="1:5" x14ac:dyDescent="0.25">
      <c r="A609" s="2">
        <v>421</v>
      </c>
      <c r="B609" s="2">
        <v>10</v>
      </c>
      <c r="C609" s="8">
        <v>45706</v>
      </c>
      <c r="D609" s="2" t="s">
        <v>19</v>
      </c>
      <c r="E609" s="2" t="s">
        <v>16</v>
      </c>
    </row>
    <row r="610" spans="1:5" x14ac:dyDescent="0.25">
      <c r="A610" s="2">
        <v>710</v>
      </c>
      <c r="B610" s="2">
        <v>18</v>
      </c>
      <c r="C610" s="8">
        <v>45770</v>
      </c>
      <c r="D610" s="2" t="s">
        <v>19</v>
      </c>
      <c r="E610" s="2" t="s">
        <v>16</v>
      </c>
    </row>
    <row r="611" spans="1:5" x14ac:dyDescent="0.25">
      <c r="A611" s="2">
        <v>56</v>
      </c>
      <c r="B611" s="2">
        <v>2</v>
      </c>
      <c r="C611" s="8">
        <v>45665</v>
      </c>
      <c r="D611" s="2" t="s">
        <v>19</v>
      </c>
      <c r="E611" s="2" t="s">
        <v>16</v>
      </c>
    </row>
    <row r="612" spans="1:5" x14ac:dyDescent="0.25">
      <c r="A612" s="2">
        <v>1782</v>
      </c>
      <c r="B612" s="2">
        <v>46</v>
      </c>
      <c r="C612" s="8">
        <v>45956</v>
      </c>
      <c r="D612" s="2" t="s">
        <v>12</v>
      </c>
      <c r="E612" s="2" t="s">
        <v>16</v>
      </c>
    </row>
    <row r="613" spans="1:5" x14ac:dyDescent="0.25">
      <c r="A613" s="2">
        <v>1461</v>
      </c>
      <c r="B613" s="2">
        <v>38</v>
      </c>
      <c r="C613" s="8">
        <v>45886</v>
      </c>
      <c r="D613" s="2" t="s">
        <v>12</v>
      </c>
      <c r="E613" s="2" t="s">
        <v>18</v>
      </c>
    </row>
    <row r="614" spans="1:5" x14ac:dyDescent="0.25">
      <c r="A614" s="2">
        <v>1330</v>
      </c>
      <c r="B614" s="2">
        <v>33</v>
      </c>
      <c r="C614" s="8">
        <v>45937</v>
      </c>
      <c r="D614" s="2" t="s">
        <v>15</v>
      </c>
      <c r="E614" s="2" t="s">
        <v>13</v>
      </c>
    </row>
    <row r="615" spans="1:5" x14ac:dyDescent="0.25">
      <c r="A615" s="2">
        <v>327</v>
      </c>
      <c r="B615" s="2">
        <v>8</v>
      </c>
      <c r="C615" s="8">
        <v>45713</v>
      </c>
      <c r="D615" s="2" t="s">
        <v>12</v>
      </c>
      <c r="E615" s="2" t="s">
        <v>16</v>
      </c>
    </row>
    <row r="616" spans="1:5" x14ac:dyDescent="0.25">
      <c r="A616" s="2">
        <v>274</v>
      </c>
      <c r="B616" s="2">
        <v>7</v>
      </c>
      <c r="C616" s="8">
        <v>45695</v>
      </c>
      <c r="D616" s="2" t="s">
        <v>15</v>
      </c>
      <c r="E616" s="2" t="s">
        <v>16</v>
      </c>
    </row>
    <row r="617" spans="1:5" x14ac:dyDescent="0.25">
      <c r="A617" s="2">
        <v>540</v>
      </c>
      <c r="B617" s="2">
        <v>13</v>
      </c>
      <c r="C617" s="8">
        <v>45731</v>
      </c>
      <c r="D617" s="2" t="s">
        <v>19</v>
      </c>
      <c r="E617" s="2" t="s">
        <v>18</v>
      </c>
    </row>
    <row r="618" spans="1:5" x14ac:dyDescent="0.25">
      <c r="A618" s="2">
        <v>1039</v>
      </c>
      <c r="B618" s="2">
        <v>27</v>
      </c>
      <c r="C618" s="8">
        <v>45811</v>
      </c>
      <c r="D618" s="2" t="s">
        <v>15</v>
      </c>
      <c r="E618" s="2" t="s">
        <v>14</v>
      </c>
    </row>
    <row r="619" spans="1:5" x14ac:dyDescent="0.25">
      <c r="A619" s="2">
        <v>636</v>
      </c>
      <c r="B619" s="2">
        <v>16</v>
      </c>
      <c r="C619" s="8">
        <v>45753</v>
      </c>
      <c r="D619" s="2" t="s">
        <v>20</v>
      </c>
      <c r="E619" s="2" t="s">
        <v>16</v>
      </c>
    </row>
    <row r="620" spans="1:5" x14ac:dyDescent="0.25">
      <c r="A620" s="2">
        <v>1171</v>
      </c>
      <c r="B620" s="2">
        <v>29</v>
      </c>
      <c r="C620" s="8">
        <v>45816</v>
      </c>
      <c r="D620" s="2" t="s">
        <v>12</v>
      </c>
      <c r="E620" s="2" t="s">
        <v>16</v>
      </c>
    </row>
    <row r="621" spans="1:5" x14ac:dyDescent="0.25">
      <c r="A621" s="2">
        <v>1096</v>
      </c>
      <c r="B621" s="2">
        <v>28</v>
      </c>
      <c r="C621" s="8">
        <v>45830</v>
      </c>
      <c r="D621" s="2" t="s">
        <v>12</v>
      </c>
      <c r="E621" s="2" t="s">
        <v>13</v>
      </c>
    </row>
    <row r="622" spans="1:5" x14ac:dyDescent="0.25">
      <c r="A622" s="2">
        <v>310</v>
      </c>
      <c r="B622" s="2">
        <v>8</v>
      </c>
      <c r="C622" s="8">
        <v>45691</v>
      </c>
      <c r="D622" s="2" t="s">
        <v>20</v>
      </c>
      <c r="E622" s="2" t="s">
        <v>18</v>
      </c>
    </row>
    <row r="623" spans="1:5" x14ac:dyDescent="0.25">
      <c r="A623" s="2">
        <v>1726</v>
      </c>
      <c r="B623" s="2">
        <v>44</v>
      </c>
      <c r="C623" s="8">
        <v>45914</v>
      </c>
      <c r="D623" s="2" t="s">
        <v>12</v>
      </c>
      <c r="E623" s="2" t="s">
        <v>18</v>
      </c>
    </row>
    <row r="624" spans="1:5" x14ac:dyDescent="0.25">
      <c r="A624" s="2">
        <v>1164</v>
      </c>
      <c r="B624" s="2">
        <v>29</v>
      </c>
      <c r="C624" s="8">
        <v>45826</v>
      </c>
      <c r="D624" s="2" t="s">
        <v>12</v>
      </c>
      <c r="E624" s="2" t="s">
        <v>18</v>
      </c>
    </row>
    <row r="625" spans="1:5" x14ac:dyDescent="0.25">
      <c r="A625" s="2">
        <v>907</v>
      </c>
      <c r="B625" s="2">
        <v>22</v>
      </c>
      <c r="C625" s="8">
        <v>45797</v>
      </c>
      <c r="D625" s="2" t="s">
        <v>12</v>
      </c>
      <c r="E625" s="2" t="s">
        <v>13</v>
      </c>
    </row>
    <row r="626" spans="1:5" x14ac:dyDescent="0.25">
      <c r="A626" s="2">
        <v>1131</v>
      </c>
      <c r="B626" s="2">
        <v>28</v>
      </c>
      <c r="C626" s="8">
        <v>45812</v>
      </c>
      <c r="D626" s="2" t="s">
        <v>12</v>
      </c>
      <c r="E626" s="2" t="s">
        <v>18</v>
      </c>
    </row>
    <row r="627" spans="1:5" x14ac:dyDescent="0.25">
      <c r="A627" s="2">
        <v>1772</v>
      </c>
      <c r="B627" s="2">
        <v>46</v>
      </c>
      <c r="C627" s="8">
        <v>45951</v>
      </c>
      <c r="D627" s="2" t="s">
        <v>15</v>
      </c>
      <c r="E627" s="2" t="s">
        <v>13</v>
      </c>
    </row>
    <row r="628" spans="1:5" x14ac:dyDescent="0.25">
      <c r="A628" s="2">
        <v>1589</v>
      </c>
      <c r="B628" s="2">
        <v>42</v>
      </c>
      <c r="C628" s="8">
        <v>45910</v>
      </c>
      <c r="D628" s="2" t="s">
        <v>20</v>
      </c>
      <c r="E628" s="2" t="s">
        <v>13</v>
      </c>
    </row>
    <row r="629" spans="1:5" x14ac:dyDescent="0.25">
      <c r="A629" s="2">
        <v>1415</v>
      </c>
      <c r="B629" s="2">
        <v>37</v>
      </c>
      <c r="C629" s="8">
        <v>45870</v>
      </c>
      <c r="D629" s="2" t="s">
        <v>12</v>
      </c>
      <c r="E629" s="2" t="s">
        <v>18</v>
      </c>
    </row>
    <row r="630" spans="1:5" x14ac:dyDescent="0.25">
      <c r="A630" s="2">
        <v>1350</v>
      </c>
      <c r="B630" s="2">
        <v>33</v>
      </c>
      <c r="C630" s="8">
        <v>45864</v>
      </c>
      <c r="D630" s="2" t="s">
        <v>15</v>
      </c>
      <c r="E630" s="2" t="s">
        <v>14</v>
      </c>
    </row>
    <row r="631" spans="1:5" x14ac:dyDescent="0.25">
      <c r="A631" s="2">
        <v>838</v>
      </c>
      <c r="B631" s="2">
        <v>21</v>
      </c>
      <c r="C631" s="8">
        <v>45804</v>
      </c>
      <c r="D631" s="2" t="s">
        <v>12</v>
      </c>
      <c r="E631" s="2" t="s">
        <v>18</v>
      </c>
    </row>
    <row r="632" spans="1:5" x14ac:dyDescent="0.25">
      <c r="A632" s="2">
        <v>126</v>
      </c>
      <c r="B632" s="2">
        <v>3</v>
      </c>
      <c r="C632" s="8">
        <v>45674</v>
      </c>
      <c r="D632" s="2" t="s">
        <v>12</v>
      </c>
      <c r="E632" s="2" t="s">
        <v>16</v>
      </c>
    </row>
    <row r="633" spans="1:5" x14ac:dyDescent="0.25">
      <c r="A633" s="2">
        <v>1660</v>
      </c>
      <c r="B633" s="2">
        <v>43</v>
      </c>
      <c r="C633" s="8">
        <v>45919</v>
      </c>
      <c r="D633" s="2" t="s">
        <v>12</v>
      </c>
      <c r="E633" s="2" t="s">
        <v>16</v>
      </c>
    </row>
    <row r="634" spans="1:5" x14ac:dyDescent="0.25">
      <c r="A634" s="2">
        <v>408</v>
      </c>
      <c r="B634" s="2">
        <v>9</v>
      </c>
      <c r="C634" s="8">
        <v>45716</v>
      </c>
      <c r="D634" s="2" t="s">
        <v>12</v>
      </c>
      <c r="E634" s="2" t="s">
        <v>18</v>
      </c>
    </row>
    <row r="635" spans="1:5" x14ac:dyDescent="0.25">
      <c r="A635" s="2">
        <v>897</v>
      </c>
      <c r="B635" s="2">
        <v>22</v>
      </c>
      <c r="C635" s="8">
        <v>45793</v>
      </c>
      <c r="D635" s="2" t="s">
        <v>19</v>
      </c>
      <c r="E635" s="2" t="s">
        <v>18</v>
      </c>
    </row>
    <row r="636" spans="1:5" x14ac:dyDescent="0.25">
      <c r="A636" s="2">
        <v>702</v>
      </c>
      <c r="B636" s="2">
        <v>18</v>
      </c>
      <c r="C636" s="8">
        <v>45749</v>
      </c>
      <c r="D636" s="2" t="s">
        <v>20</v>
      </c>
      <c r="E636" s="2" t="s">
        <v>13</v>
      </c>
    </row>
    <row r="637" spans="1:5" x14ac:dyDescent="0.25">
      <c r="A637" s="2">
        <v>300</v>
      </c>
      <c r="B637" s="2">
        <v>7</v>
      </c>
      <c r="C637" s="8">
        <v>45713</v>
      </c>
      <c r="D637" s="2" t="s">
        <v>19</v>
      </c>
      <c r="E637" s="2" t="s">
        <v>14</v>
      </c>
    </row>
    <row r="638" spans="1:5" x14ac:dyDescent="0.25">
      <c r="A638" s="2">
        <v>2126</v>
      </c>
      <c r="B638" s="2">
        <v>59</v>
      </c>
      <c r="C638" s="8">
        <v>46017</v>
      </c>
      <c r="D638" s="2" t="s">
        <v>19</v>
      </c>
      <c r="E638" s="2" t="s">
        <v>16</v>
      </c>
    </row>
    <row r="639" spans="1:5" x14ac:dyDescent="0.25">
      <c r="A639" s="2">
        <v>1827</v>
      </c>
      <c r="B639" s="2">
        <v>47</v>
      </c>
      <c r="C639" s="8">
        <v>45938</v>
      </c>
      <c r="D639" s="2" t="s">
        <v>20</v>
      </c>
      <c r="E639" s="2" t="s">
        <v>16</v>
      </c>
    </row>
    <row r="640" spans="1:5" x14ac:dyDescent="0.25">
      <c r="A640" s="2">
        <v>693</v>
      </c>
      <c r="B640" s="2">
        <v>17</v>
      </c>
      <c r="C640" s="8">
        <v>45754</v>
      </c>
      <c r="D640" s="2" t="s">
        <v>17</v>
      </c>
      <c r="E640" s="2" t="s">
        <v>18</v>
      </c>
    </row>
    <row r="641" spans="1:5" x14ac:dyDescent="0.25">
      <c r="A641" s="2">
        <v>322</v>
      </c>
      <c r="B641" s="2">
        <v>8</v>
      </c>
      <c r="C641" s="8">
        <v>45709</v>
      </c>
      <c r="D641" s="2" t="s">
        <v>20</v>
      </c>
      <c r="E641" s="2" t="s">
        <v>13</v>
      </c>
    </row>
    <row r="642" spans="1:5" x14ac:dyDescent="0.25">
      <c r="A642" s="2">
        <v>1685</v>
      </c>
      <c r="B642" s="2">
        <v>43</v>
      </c>
      <c r="C642" s="8">
        <v>45911</v>
      </c>
      <c r="D642" s="2" t="s">
        <v>15</v>
      </c>
      <c r="E642" s="2" t="s">
        <v>18</v>
      </c>
    </row>
    <row r="643" spans="1:5" x14ac:dyDescent="0.25">
      <c r="A643" s="2">
        <v>290</v>
      </c>
      <c r="B643" s="2">
        <v>7</v>
      </c>
      <c r="C643" s="8">
        <v>45698</v>
      </c>
      <c r="D643" s="2" t="s">
        <v>12</v>
      </c>
      <c r="E643" s="2" t="s">
        <v>16</v>
      </c>
    </row>
    <row r="644" spans="1:5" x14ac:dyDescent="0.25">
      <c r="A644" s="2">
        <v>1094</v>
      </c>
      <c r="B644" s="2">
        <v>27</v>
      </c>
      <c r="C644" s="8" t="s">
        <v>30</v>
      </c>
      <c r="D644" s="2" t="s">
        <v>12</v>
      </c>
      <c r="E644" s="2" t="s">
        <v>18</v>
      </c>
    </row>
    <row r="645" spans="1:5" x14ac:dyDescent="0.25">
      <c r="A645" s="2">
        <v>776</v>
      </c>
      <c r="B645" s="2">
        <v>18</v>
      </c>
      <c r="C645" s="8">
        <v>45775</v>
      </c>
      <c r="D645" s="2" t="s">
        <v>12</v>
      </c>
      <c r="E645" s="2" t="s">
        <v>13</v>
      </c>
    </row>
    <row r="646" spans="1:5" x14ac:dyDescent="0.25">
      <c r="A646" s="2">
        <v>130</v>
      </c>
      <c r="B646" s="2">
        <v>3</v>
      </c>
      <c r="C646" s="8">
        <v>45675</v>
      </c>
      <c r="D646" s="2" t="s">
        <v>20</v>
      </c>
      <c r="E646" s="2" t="s">
        <v>13</v>
      </c>
    </row>
    <row r="647" spans="1:5" x14ac:dyDescent="0.25">
      <c r="A647" s="2">
        <v>648</v>
      </c>
      <c r="B647" s="2">
        <v>17</v>
      </c>
      <c r="C647" s="8">
        <v>45759</v>
      </c>
      <c r="D647" s="2" t="s">
        <v>15</v>
      </c>
      <c r="E647" s="2" t="s">
        <v>14</v>
      </c>
    </row>
    <row r="648" spans="1:5" x14ac:dyDescent="0.25">
      <c r="A648" s="2">
        <v>79</v>
      </c>
      <c r="B648" s="2">
        <v>2</v>
      </c>
      <c r="C648" s="8">
        <v>45992</v>
      </c>
      <c r="D648" s="2" t="s">
        <v>12</v>
      </c>
      <c r="E648" s="2" t="s">
        <v>13</v>
      </c>
    </row>
    <row r="649" spans="1:5" x14ac:dyDescent="0.25">
      <c r="A649" s="2">
        <v>738</v>
      </c>
      <c r="B649" s="2">
        <v>18</v>
      </c>
      <c r="C649" s="8">
        <v>45767</v>
      </c>
      <c r="D649" s="2" t="s">
        <v>15</v>
      </c>
      <c r="E649" s="2" t="s">
        <v>13</v>
      </c>
    </row>
    <row r="650" spans="1:5" x14ac:dyDescent="0.25">
      <c r="A650" s="2">
        <v>2085</v>
      </c>
      <c r="B650" s="2">
        <v>57</v>
      </c>
      <c r="C650" s="8">
        <v>46014</v>
      </c>
      <c r="D650" s="2" t="s">
        <v>19</v>
      </c>
      <c r="E650" s="2" t="s">
        <v>18</v>
      </c>
    </row>
    <row r="651" spans="1:5" x14ac:dyDescent="0.25">
      <c r="A651" s="2">
        <v>1993</v>
      </c>
      <c r="B651" s="2">
        <v>52</v>
      </c>
      <c r="C651" s="8">
        <v>45964</v>
      </c>
      <c r="D651" s="2" t="s">
        <v>15</v>
      </c>
      <c r="E651" s="2" t="s">
        <v>18</v>
      </c>
    </row>
    <row r="652" spans="1:5" x14ac:dyDescent="0.25">
      <c r="A652" s="2">
        <v>1084</v>
      </c>
      <c r="B652" s="2">
        <v>27</v>
      </c>
      <c r="C652" s="8">
        <v>45829</v>
      </c>
      <c r="D652" s="2" t="s">
        <v>17</v>
      </c>
      <c r="E652" s="2" t="s">
        <v>14</v>
      </c>
    </row>
    <row r="653" spans="1:5" x14ac:dyDescent="0.25">
      <c r="A653" s="2">
        <v>798</v>
      </c>
      <c r="B653" s="2">
        <v>19</v>
      </c>
      <c r="C653" s="8">
        <v>45764</v>
      </c>
      <c r="D653" s="2" t="s">
        <v>12</v>
      </c>
      <c r="E653" s="2" t="s">
        <v>16</v>
      </c>
    </row>
    <row r="654" spans="1:5" x14ac:dyDescent="0.25">
      <c r="A654" s="2">
        <v>1277</v>
      </c>
      <c r="B654" s="2">
        <v>33</v>
      </c>
      <c r="C654" s="8">
        <v>45859</v>
      </c>
      <c r="D654" s="2" t="s">
        <v>12</v>
      </c>
      <c r="E654" s="2" t="s">
        <v>13</v>
      </c>
    </row>
    <row r="655" spans="1:5" x14ac:dyDescent="0.25">
      <c r="A655" s="2">
        <v>1859</v>
      </c>
      <c r="B655" s="2">
        <v>48</v>
      </c>
      <c r="C655" s="8">
        <v>45848</v>
      </c>
      <c r="D655" s="2" t="s">
        <v>19</v>
      </c>
      <c r="E655" s="2" t="s">
        <v>13</v>
      </c>
    </row>
    <row r="656" spans="1:5" x14ac:dyDescent="0.25">
      <c r="A656" s="2">
        <v>1904</v>
      </c>
      <c r="B656" s="2">
        <v>48</v>
      </c>
      <c r="C656" s="8">
        <v>45949</v>
      </c>
      <c r="D656" s="2" t="s">
        <v>12</v>
      </c>
      <c r="E656" s="2" t="s">
        <v>18</v>
      </c>
    </row>
    <row r="657" spans="1:5" x14ac:dyDescent="0.25">
      <c r="A657" s="2">
        <v>2018</v>
      </c>
      <c r="B657" s="2">
        <v>53</v>
      </c>
      <c r="C657" s="8">
        <v>45962</v>
      </c>
      <c r="D657" s="2" t="s">
        <v>20</v>
      </c>
      <c r="E657" s="2" t="s">
        <v>18</v>
      </c>
    </row>
    <row r="658" spans="1:5" x14ac:dyDescent="0.25">
      <c r="A658" s="2">
        <v>1327</v>
      </c>
      <c r="B658" s="2">
        <v>33</v>
      </c>
      <c r="C658" s="8">
        <v>45851</v>
      </c>
      <c r="D658" s="2" t="s">
        <v>12</v>
      </c>
      <c r="E658" s="2" t="s">
        <v>16</v>
      </c>
    </row>
    <row r="659" spans="1:5" x14ac:dyDescent="0.25">
      <c r="A659" s="2">
        <v>95</v>
      </c>
      <c r="B659" s="2">
        <v>3</v>
      </c>
      <c r="C659" s="8">
        <v>45681</v>
      </c>
      <c r="D659" s="2" t="s">
        <v>12</v>
      </c>
      <c r="E659" s="2" t="s">
        <v>16</v>
      </c>
    </row>
    <row r="660" spans="1:5" x14ac:dyDescent="0.25">
      <c r="A660" s="2">
        <v>1525</v>
      </c>
      <c r="B660" s="2">
        <v>39</v>
      </c>
      <c r="C660" s="8">
        <v>45883</v>
      </c>
      <c r="D660" s="2" t="s">
        <v>19</v>
      </c>
      <c r="E660" s="2" t="s">
        <v>18</v>
      </c>
    </row>
    <row r="661" spans="1:5" x14ac:dyDescent="0.25">
      <c r="A661" s="2">
        <v>244</v>
      </c>
      <c r="B661" s="2">
        <v>6</v>
      </c>
      <c r="C661" s="8">
        <v>45713</v>
      </c>
      <c r="D661" s="2" t="s">
        <v>12</v>
      </c>
      <c r="E661" s="2" t="s">
        <v>18</v>
      </c>
    </row>
    <row r="662" spans="1:5" x14ac:dyDescent="0.25">
      <c r="A662" s="2">
        <v>1454</v>
      </c>
      <c r="B662" s="2">
        <v>38</v>
      </c>
      <c r="C662" s="8">
        <v>45888</v>
      </c>
      <c r="D662" s="2" t="s">
        <v>15</v>
      </c>
      <c r="E662" s="2" t="s">
        <v>13</v>
      </c>
    </row>
    <row r="663" spans="1:5" x14ac:dyDescent="0.25">
      <c r="A663" s="2">
        <v>1946</v>
      </c>
      <c r="B663" s="2">
        <v>50</v>
      </c>
      <c r="C663" s="8">
        <v>45943</v>
      </c>
      <c r="D663" s="2" t="s">
        <v>12</v>
      </c>
      <c r="E663" s="2" t="s">
        <v>16</v>
      </c>
    </row>
    <row r="664" spans="1:5" x14ac:dyDescent="0.25">
      <c r="A664" s="2">
        <v>2082</v>
      </c>
      <c r="B664" s="2">
        <v>56</v>
      </c>
      <c r="C664" s="8" t="s">
        <v>31</v>
      </c>
      <c r="D664" s="2" t="s">
        <v>20</v>
      </c>
      <c r="E664" s="2" t="s">
        <v>18</v>
      </c>
    </row>
    <row r="665" spans="1:5" x14ac:dyDescent="0.25">
      <c r="A665" s="2">
        <v>1030</v>
      </c>
      <c r="B665" s="2">
        <v>27</v>
      </c>
      <c r="C665" s="8">
        <v>45832</v>
      </c>
      <c r="D665" s="2" t="s">
        <v>15</v>
      </c>
      <c r="E665" s="2" t="s">
        <v>13</v>
      </c>
    </row>
    <row r="666" spans="1:5" x14ac:dyDescent="0.25">
      <c r="A666" s="2">
        <v>1373</v>
      </c>
      <c r="B666" s="2">
        <v>34</v>
      </c>
      <c r="C666" s="8">
        <v>45856</v>
      </c>
      <c r="D666" s="2" t="s">
        <v>17</v>
      </c>
      <c r="E666" s="2" t="s">
        <v>13</v>
      </c>
    </row>
    <row r="667" spans="1:5" x14ac:dyDescent="0.25">
      <c r="A667" s="2">
        <v>1809</v>
      </c>
      <c r="B667" s="2">
        <v>47</v>
      </c>
      <c r="C667" s="8">
        <v>45943</v>
      </c>
      <c r="D667" s="2" t="s">
        <v>19</v>
      </c>
      <c r="E667" s="2" t="s">
        <v>14</v>
      </c>
    </row>
    <row r="668" spans="1:5" x14ac:dyDescent="0.25">
      <c r="A668" s="2">
        <v>631</v>
      </c>
      <c r="B668" s="2">
        <v>16</v>
      </c>
      <c r="C668" s="8">
        <v>45748</v>
      </c>
      <c r="D668" s="2" t="s">
        <v>20</v>
      </c>
      <c r="E668" s="2" t="s">
        <v>14</v>
      </c>
    </row>
    <row r="669" spans="1:5" x14ac:dyDescent="0.25">
      <c r="A669" s="2">
        <v>1071</v>
      </c>
      <c r="B669" s="2">
        <v>27</v>
      </c>
      <c r="C669" s="8">
        <v>45832</v>
      </c>
      <c r="D669" s="2" t="s">
        <v>20</v>
      </c>
      <c r="E669" s="2" t="s">
        <v>16</v>
      </c>
    </row>
    <row r="670" spans="1:5" x14ac:dyDescent="0.25">
      <c r="A670" s="2">
        <v>822</v>
      </c>
      <c r="B670" s="2">
        <v>20</v>
      </c>
      <c r="C670" s="8">
        <v>45764</v>
      </c>
      <c r="D670" s="2" t="s">
        <v>20</v>
      </c>
      <c r="E670" s="2" t="s">
        <v>13</v>
      </c>
    </row>
    <row r="671" spans="1:5" x14ac:dyDescent="0.25">
      <c r="A671" s="2">
        <v>119</v>
      </c>
      <c r="B671" s="2">
        <v>3</v>
      </c>
      <c r="C671" s="8">
        <v>45676</v>
      </c>
      <c r="D671" s="2" t="s">
        <v>12</v>
      </c>
      <c r="E671" s="2" t="s">
        <v>16</v>
      </c>
    </row>
    <row r="672" spans="1:5" x14ac:dyDescent="0.25">
      <c r="A672" s="2">
        <v>1426</v>
      </c>
      <c r="B672" s="2">
        <v>37</v>
      </c>
      <c r="C672" s="8">
        <v>45891</v>
      </c>
      <c r="D672" s="2" t="s">
        <v>19</v>
      </c>
      <c r="E672" s="2" t="s">
        <v>14</v>
      </c>
    </row>
    <row r="673" spans="1:5" x14ac:dyDescent="0.25">
      <c r="A673" s="2">
        <v>1474</v>
      </c>
      <c r="B673" s="2">
        <v>38</v>
      </c>
      <c r="C673" s="8">
        <v>45883</v>
      </c>
      <c r="D673" s="2" t="s">
        <v>12</v>
      </c>
      <c r="E673" s="2" t="s">
        <v>16</v>
      </c>
    </row>
    <row r="674" spans="1:5" x14ac:dyDescent="0.25">
      <c r="A674" s="2">
        <v>1716</v>
      </c>
      <c r="B674" s="2">
        <v>44</v>
      </c>
      <c r="C674" s="8">
        <v>45921</v>
      </c>
      <c r="D674" s="2" t="s">
        <v>12</v>
      </c>
      <c r="E674" s="2" t="s">
        <v>13</v>
      </c>
    </row>
    <row r="675" spans="1:5" x14ac:dyDescent="0.25">
      <c r="A675" s="2">
        <v>1554</v>
      </c>
      <c r="B675" s="2">
        <v>40</v>
      </c>
      <c r="C675" s="8">
        <v>45895</v>
      </c>
      <c r="D675" s="2" t="s">
        <v>20</v>
      </c>
      <c r="E675" s="2" t="s">
        <v>16</v>
      </c>
    </row>
    <row r="676" spans="1:5" x14ac:dyDescent="0.25">
      <c r="A676" s="2">
        <v>2059</v>
      </c>
      <c r="B676" s="2">
        <v>55</v>
      </c>
      <c r="C676" s="8">
        <v>45969</v>
      </c>
      <c r="D676" s="2" t="s">
        <v>20</v>
      </c>
      <c r="E676" s="2" t="s">
        <v>14</v>
      </c>
    </row>
    <row r="677" spans="1:5" x14ac:dyDescent="0.25">
      <c r="A677" s="2">
        <v>831</v>
      </c>
      <c r="B677" s="2">
        <v>21</v>
      </c>
      <c r="C677" s="8">
        <v>45805</v>
      </c>
      <c r="D677" s="2" t="s">
        <v>12</v>
      </c>
      <c r="E677" s="2" t="s">
        <v>18</v>
      </c>
    </row>
    <row r="678" spans="1:5" x14ac:dyDescent="0.25">
      <c r="A678" s="2">
        <v>1189</v>
      </c>
      <c r="B678" s="2">
        <v>30</v>
      </c>
      <c r="C678" s="8">
        <v>45823</v>
      </c>
      <c r="D678" s="2" t="s">
        <v>20</v>
      </c>
      <c r="E678" s="2" t="s">
        <v>18</v>
      </c>
    </row>
    <row r="679" spans="1:5" x14ac:dyDescent="0.25">
      <c r="A679" s="2">
        <v>2122</v>
      </c>
      <c r="B679" s="2">
        <v>58</v>
      </c>
      <c r="C679" s="8">
        <v>45995</v>
      </c>
      <c r="D679" s="2" t="s">
        <v>12</v>
      </c>
      <c r="E679" s="2" t="s">
        <v>13</v>
      </c>
    </row>
    <row r="680" spans="1:5" x14ac:dyDescent="0.25">
      <c r="A680" s="2">
        <v>494</v>
      </c>
      <c r="B680" s="2">
        <v>12</v>
      </c>
      <c r="C680" s="8">
        <v>45730</v>
      </c>
      <c r="D680" s="2" t="s">
        <v>15</v>
      </c>
      <c r="E680" s="2" t="s">
        <v>18</v>
      </c>
    </row>
    <row r="681" spans="1:5" x14ac:dyDescent="0.25">
      <c r="A681" s="2">
        <v>1737</v>
      </c>
      <c r="B681" s="2">
        <v>44</v>
      </c>
      <c r="C681" s="8">
        <v>45923</v>
      </c>
      <c r="D681" s="2" t="s">
        <v>12</v>
      </c>
      <c r="E681" s="2" t="s">
        <v>18</v>
      </c>
    </row>
    <row r="682" spans="1:5" x14ac:dyDescent="0.25">
      <c r="A682" s="2">
        <v>19</v>
      </c>
      <c r="B682" s="2">
        <v>1</v>
      </c>
      <c r="C682" s="8">
        <v>45681</v>
      </c>
      <c r="D682" s="2" t="s">
        <v>15</v>
      </c>
      <c r="E682" s="2" t="s">
        <v>13</v>
      </c>
    </row>
    <row r="683" spans="1:5" x14ac:dyDescent="0.25">
      <c r="A683" s="2">
        <v>389</v>
      </c>
      <c r="B683" s="2">
        <v>9</v>
      </c>
      <c r="C683" s="8">
        <v>45701</v>
      </c>
      <c r="D683" s="2" t="s">
        <v>20</v>
      </c>
      <c r="E683" s="2" t="s">
        <v>18</v>
      </c>
    </row>
    <row r="684" spans="1:5" x14ac:dyDescent="0.25">
      <c r="A684" s="2">
        <v>623</v>
      </c>
      <c r="B684" s="2">
        <v>15</v>
      </c>
      <c r="C684" s="8">
        <v>45718</v>
      </c>
      <c r="D684" s="2" t="s">
        <v>15</v>
      </c>
      <c r="E684" s="2" t="s">
        <v>13</v>
      </c>
    </row>
    <row r="685" spans="1:5" x14ac:dyDescent="0.25">
      <c r="A685" s="2">
        <v>1214</v>
      </c>
      <c r="B685" s="2">
        <v>31</v>
      </c>
      <c r="C685" s="8">
        <v>45852</v>
      </c>
      <c r="D685" s="2" t="s">
        <v>15</v>
      </c>
      <c r="E685" s="2" t="s">
        <v>18</v>
      </c>
    </row>
    <row r="686" spans="1:5" x14ac:dyDescent="0.25">
      <c r="A686" s="2">
        <v>1706</v>
      </c>
      <c r="B686" s="2">
        <v>43</v>
      </c>
      <c r="C686" s="8">
        <v>45928</v>
      </c>
      <c r="D686" s="2" t="s">
        <v>15</v>
      </c>
      <c r="E686" s="2" t="s">
        <v>18</v>
      </c>
    </row>
    <row r="687" spans="1:5" x14ac:dyDescent="0.25">
      <c r="A687" s="2">
        <v>1253</v>
      </c>
      <c r="B687" s="2">
        <v>32</v>
      </c>
      <c r="C687" s="8">
        <v>45857</v>
      </c>
      <c r="D687" s="2" t="s">
        <v>12</v>
      </c>
      <c r="E687" s="2" t="s">
        <v>16</v>
      </c>
    </row>
    <row r="688" spans="1:5" x14ac:dyDescent="0.25">
      <c r="A688" s="2">
        <v>1976</v>
      </c>
      <c r="B688" s="2">
        <v>51</v>
      </c>
      <c r="C688" s="8">
        <v>45973</v>
      </c>
      <c r="D688" s="2" t="s">
        <v>12</v>
      </c>
      <c r="E688" s="2" t="s">
        <v>14</v>
      </c>
    </row>
    <row r="689" spans="1:5" x14ac:dyDescent="0.25">
      <c r="A689" s="2">
        <v>1621</v>
      </c>
      <c r="B689" s="2">
        <v>42</v>
      </c>
      <c r="C689" s="8">
        <v>45922</v>
      </c>
      <c r="D689" s="2" t="s">
        <v>15</v>
      </c>
      <c r="E689" s="2" t="s">
        <v>18</v>
      </c>
    </row>
    <row r="690" spans="1:5" x14ac:dyDescent="0.25">
      <c r="A690" s="2">
        <v>2101</v>
      </c>
      <c r="B690" s="2">
        <v>57</v>
      </c>
      <c r="C690" s="8">
        <v>46017</v>
      </c>
      <c r="D690" s="2" t="s">
        <v>12</v>
      </c>
      <c r="E690" s="2" t="s">
        <v>18</v>
      </c>
    </row>
    <row r="691" spans="1:5" x14ac:dyDescent="0.25">
      <c r="A691" s="2">
        <v>905</v>
      </c>
      <c r="B691" s="2">
        <v>22</v>
      </c>
      <c r="C691" s="8">
        <v>45787</v>
      </c>
      <c r="D691" s="2" t="s">
        <v>20</v>
      </c>
      <c r="E691" s="2" t="s">
        <v>14</v>
      </c>
    </row>
    <row r="692" spans="1:5" x14ac:dyDescent="0.25">
      <c r="A692" s="2">
        <v>490</v>
      </c>
      <c r="B692" s="2">
        <v>12</v>
      </c>
      <c r="C692" s="8">
        <v>45742</v>
      </c>
      <c r="D692" s="2" t="s">
        <v>20</v>
      </c>
      <c r="E692" s="2" t="s">
        <v>13</v>
      </c>
    </row>
    <row r="693" spans="1:5" x14ac:dyDescent="0.25">
      <c r="A693" s="2">
        <v>442</v>
      </c>
      <c r="B693" s="2">
        <v>11</v>
      </c>
      <c r="C693" s="8">
        <v>45726</v>
      </c>
      <c r="D693" s="2" t="s">
        <v>19</v>
      </c>
      <c r="E693" s="2" t="s">
        <v>14</v>
      </c>
    </row>
    <row r="694" spans="1:5" x14ac:dyDescent="0.25">
      <c r="A694" s="2">
        <v>1766</v>
      </c>
      <c r="B694" s="2">
        <v>46</v>
      </c>
      <c r="C694" s="8">
        <v>45937</v>
      </c>
      <c r="D694" s="2" t="s">
        <v>15</v>
      </c>
      <c r="E694" s="2" t="s">
        <v>16</v>
      </c>
    </row>
    <row r="695" spans="1:5" x14ac:dyDescent="0.25">
      <c r="A695" s="2">
        <v>666</v>
      </c>
      <c r="B695" s="2">
        <v>17</v>
      </c>
      <c r="C695" s="8">
        <v>45770</v>
      </c>
      <c r="D695" s="2" t="s">
        <v>12</v>
      </c>
      <c r="E695" s="2" t="s">
        <v>18</v>
      </c>
    </row>
    <row r="696" spans="1:5" x14ac:dyDescent="0.25">
      <c r="A696" s="2">
        <v>819</v>
      </c>
      <c r="B696" s="2">
        <v>20</v>
      </c>
      <c r="C696" s="8">
        <v>45751</v>
      </c>
      <c r="D696" s="2" t="s">
        <v>12</v>
      </c>
      <c r="E696" s="2" t="s">
        <v>18</v>
      </c>
    </row>
    <row r="697" spans="1:5" x14ac:dyDescent="0.25">
      <c r="A697" s="2">
        <v>1517</v>
      </c>
      <c r="B697" s="2">
        <v>39</v>
      </c>
      <c r="C697" s="8">
        <v>45890</v>
      </c>
      <c r="D697" s="2" t="s">
        <v>19</v>
      </c>
      <c r="E697" s="2" t="s">
        <v>13</v>
      </c>
    </row>
    <row r="698" spans="1:5" x14ac:dyDescent="0.25">
      <c r="A698" s="2">
        <v>788</v>
      </c>
      <c r="B698" s="2">
        <v>19</v>
      </c>
      <c r="C698" s="8">
        <v>45758</v>
      </c>
      <c r="D698" s="2" t="s">
        <v>12</v>
      </c>
      <c r="E698" s="2" t="s">
        <v>16</v>
      </c>
    </row>
    <row r="699" spans="1:5" x14ac:dyDescent="0.25">
      <c r="A699" s="2">
        <v>1166</v>
      </c>
      <c r="B699" s="2">
        <v>29</v>
      </c>
      <c r="C699" s="8">
        <v>45830</v>
      </c>
      <c r="D699" s="2" t="s">
        <v>12</v>
      </c>
      <c r="E699" s="2" t="s">
        <v>16</v>
      </c>
    </row>
    <row r="700" spans="1:5" x14ac:dyDescent="0.25">
      <c r="A700" s="2">
        <v>107</v>
      </c>
      <c r="B700" s="2">
        <v>3</v>
      </c>
      <c r="C700" s="8">
        <v>45658</v>
      </c>
      <c r="D700" s="2" t="s">
        <v>12</v>
      </c>
      <c r="E700" s="2" t="s">
        <v>16</v>
      </c>
    </row>
    <row r="701" spans="1:5" x14ac:dyDescent="0.25">
      <c r="A701" s="2">
        <v>1203</v>
      </c>
      <c r="B701" s="2">
        <v>31</v>
      </c>
      <c r="C701" s="8">
        <v>45865</v>
      </c>
      <c r="D701" s="2" t="s">
        <v>20</v>
      </c>
      <c r="E701" s="2" t="s">
        <v>18</v>
      </c>
    </row>
    <row r="702" spans="1:5" x14ac:dyDescent="0.25">
      <c r="A702" s="2">
        <v>1104</v>
      </c>
      <c r="B702" s="2">
        <v>28</v>
      </c>
      <c r="C702" s="8">
        <v>45826</v>
      </c>
      <c r="D702" s="2" t="s">
        <v>12</v>
      </c>
      <c r="E702" s="2" t="s">
        <v>16</v>
      </c>
    </row>
    <row r="703" spans="1:5" x14ac:dyDescent="0.25">
      <c r="A703" s="2">
        <v>887</v>
      </c>
      <c r="B703" s="2">
        <v>22</v>
      </c>
      <c r="C703" s="8">
        <v>45796</v>
      </c>
      <c r="D703" s="2" t="s">
        <v>20</v>
      </c>
      <c r="E703" s="2" t="s">
        <v>18</v>
      </c>
    </row>
    <row r="704" spans="1:5" x14ac:dyDescent="0.25">
      <c r="A704" s="2">
        <v>1728</v>
      </c>
      <c r="B704" s="2">
        <v>44</v>
      </c>
      <c r="C704" s="8">
        <v>45907</v>
      </c>
      <c r="D704" s="2" t="s">
        <v>19</v>
      </c>
      <c r="E704" s="2" t="s">
        <v>13</v>
      </c>
    </row>
    <row r="705" spans="1:5" x14ac:dyDescent="0.25">
      <c r="A705" s="2">
        <v>1708</v>
      </c>
      <c r="B705" s="2">
        <v>44</v>
      </c>
      <c r="C705" s="8">
        <v>45914</v>
      </c>
      <c r="D705" s="2" t="s">
        <v>15</v>
      </c>
      <c r="E705" s="2" t="s">
        <v>18</v>
      </c>
    </row>
    <row r="706" spans="1:5" x14ac:dyDescent="0.25">
      <c r="A706" s="2">
        <v>83</v>
      </c>
      <c r="B706" s="2">
        <v>3</v>
      </c>
      <c r="C706" s="8">
        <v>45685</v>
      </c>
      <c r="D706" s="2" t="s">
        <v>15</v>
      </c>
      <c r="E706" s="2" t="s">
        <v>13</v>
      </c>
    </row>
    <row r="707" spans="1:5" x14ac:dyDescent="0.25">
      <c r="A707" s="2">
        <v>1615</v>
      </c>
      <c r="B707" s="2">
        <v>42</v>
      </c>
      <c r="C707" s="8">
        <v>45921</v>
      </c>
      <c r="D707" s="2" t="s">
        <v>19</v>
      </c>
      <c r="E707" s="2" t="s">
        <v>18</v>
      </c>
    </row>
    <row r="708" spans="1:5" x14ac:dyDescent="0.25">
      <c r="A708" s="2">
        <v>613</v>
      </c>
      <c r="B708" s="2">
        <v>14</v>
      </c>
      <c r="C708" s="8">
        <v>45718</v>
      </c>
      <c r="D708" s="2" t="s">
        <v>15</v>
      </c>
      <c r="E708" s="2" t="s">
        <v>14</v>
      </c>
    </row>
    <row r="709" spans="1:5" x14ac:dyDescent="0.25">
      <c r="A709" s="2">
        <v>967</v>
      </c>
      <c r="B709" s="2">
        <v>24</v>
      </c>
      <c r="C709" s="8">
        <v>45793</v>
      </c>
      <c r="D709" s="2" t="s">
        <v>20</v>
      </c>
      <c r="E709" s="2" t="s">
        <v>18</v>
      </c>
    </row>
    <row r="710" spans="1:5" x14ac:dyDescent="0.25">
      <c r="A710" s="2">
        <v>772</v>
      </c>
      <c r="B710" s="2">
        <v>18</v>
      </c>
      <c r="C710" s="8">
        <v>45755</v>
      </c>
      <c r="D710" s="2" t="s">
        <v>15</v>
      </c>
      <c r="E710" s="2" t="s">
        <v>16</v>
      </c>
    </row>
    <row r="711" spans="1:5" x14ac:dyDescent="0.25">
      <c r="A711" s="2">
        <v>1110</v>
      </c>
      <c r="B711" s="2">
        <v>28</v>
      </c>
      <c r="C711" s="8">
        <v>45824</v>
      </c>
      <c r="D711" s="2" t="s">
        <v>12</v>
      </c>
      <c r="E711" s="2" t="s">
        <v>13</v>
      </c>
    </row>
    <row r="712" spans="1:5" x14ac:dyDescent="0.25">
      <c r="A712" s="2">
        <v>1494</v>
      </c>
      <c r="B712" s="2">
        <v>38</v>
      </c>
      <c r="C712" s="8">
        <v>45889</v>
      </c>
      <c r="D712" s="2" t="s">
        <v>12</v>
      </c>
      <c r="E712" s="2" t="s">
        <v>13</v>
      </c>
    </row>
    <row r="713" spans="1:5" x14ac:dyDescent="0.25">
      <c r="A713" s="2">
        <v>1100</v>
      </c>
      <c r="B713" s="2">
        <v>28</v>
      </c>
      <c r="C713" s="8">
        <v>45813</v>
      </c>
      <c r="D713" s="2" t="s">
        <v>12</v>
      </c>
      <c r="E713" s="2" t="s">
        <v>16</v>
      </c>
    </row>
    <row r="714" spans="1:5" x14ac:dyDescent="0.25">
      <c r="A714" s="2">
        <v>1963</v>
      </c>
      <c r="B714" s="2">
        <v>51</v>
      </c>
      <c r="C714" s="8">
        <v>45973</v>
      </c>
      <c r="D714" s="2" t="s">
        <v>12</v>
      </c>
      <c r="E714" s="2" t="s">
        <v>18</v>
      </c>
    </row>
    <row r="715" spans="1:5" x14ac:dyDescent="0.25">
      <c r="A715" s="2">
        <v>2001</v>
      </c>
      <c r="B715" s="2">
        <v>53</v>
      </c>
      <c r="C715" s="8">
        <v>45973</v>
      </c>
      <c r="D715" s="2" t="s">
        <v>12</v>
      </c>
      <c r="E715" s="2" t="s">
        <v>18</v>
      </c>
    </row>
    <row r="716" spans="1:5" x14ac:dyDescent="0.25">
      <c r="A716" s="2">
        <v>506</v>
      </c>
      <c r="B716" s="2">
        <v>12</v>
      </c>
      <c r="C716" s="8">
        <v>45739</v>
      </c>
      <c r="D716" s="2" t="s">
        <v>19</v>
      </c>
      <c r="E716" s="2" t="s">
        <v>16</v>
      </c>
    </row>
    <row r="717" spans="1:5" x14ac:dyDescent="0.25">
      <c r="A717" s="2">
        <v>242</v>
      </c>
      <c r="B717" s="2">
        <v>6</v>
      </c>
      <c r="C717" s="8">
        <v>45696</v>
      </c>
      <c r="D717" s="2" t="s">
        <v>20</v>
      </c>
      <c r="E717" s="2" t="s">
        <v>13</v>
      </c>
    </row>
    <row r="718" spans="1:5" x14ac:dyDescent="0.25">
      <c r="A718" s="2">
        <v>849</v>
      </c>
      <c r="B718" s="2">
        <v>21</v>
      </c>
      <c r="C718" s="8">
        <v>45783</v>
      </c>
      <c r="D718" s="2" t="s">
        <v>12</v>
      </c>
      <c r="E718" s="2" t="s">
        <v>14</v>
      </c>
    </row>
    <row r="719" spans="1:5" x14ac:dyDescent="0.25">
      <c r="A719" s="2">
        <v>680</v>
      </c>
      <c r="B719" s="2">
        <v>17</v>
      </c>
      <c r="C719" s="8">
        <v>45761</v>
      </c>
      <c r="D719" s="2" t="s">
        <v>12</v>
      </c>
      <c r="E719" s="2" t="s">
        <v>13</v>
      </c>
    </row>
    <row r="720" spans="1:5" x14ac:dyDescent="0.25">
      <c r="A720" s="2">
        <v>338</v>
      </c>
      <c r="B720" s="2">
        <v>8</v>
      </c>
      <c r="C720" s="8">
        <v>45698</v>
      </c>
      <c r="D720" s="2" t="s">
        <v>12</v>
      </c>
      <c r="E720" s="2" t="s">
        <v>16</v>
      </c>
    </row>
    <row r="721" spans="1:5" x14ac:dyDescent="0.25">
      <c r="A721" s="2">
        <v>1186</v>
      </c>
      <c r="B721" s="2">
        <v>30</v>
      </c>
      <c r="C721" s="8">
        <v>45813</v>
      </c>
      <c r="D721" s="2" t="s">
        <v>15</v>
      </c>
      <c r="E721" s="2" t="s">
        <v>13</v>
      </c>
    </row>
    <row r="722" spans="1:5" x14ac:dyDescent="0.25">
      <c r="A722" s="2">
        <v>2075</v>
      </c>
      <c r="B722" s="2">
        <v>56</v>
      </c>
      <c r="C722" s="8">
        <v>46018</v>
      </c>
      <c r="D722" s="2" t="s">
        <v>19</v>
      </c>
      <c r="E722" s="2" t="s">
        <v>18</v>
      </c>
    </row>
    <row r="723" spans="1:5" x14ac:dyDescent="0.25">
      <c r="A723" s="2">
        <v>1062</v>
      </c>
      <c r="B723" s="2">
        <v>27</v>
      </c>
      <c r="C723" s="8">
        <v>45836</v>
      </c>
      <c r="D723" s="2" t="s">
        <v>19</v>
      </c>
      <c r="E723" s="2" t="s">
        <v>18</v>
      </c>
    </row>
    <row r="724" spans="1:5" x14ac:dyDescent="0.25">
      <c r="A724" s="2">
        <v>1635</v>
      </c>
      <c r="B724" s="2">
        <v>43</v>
      </c>
      <c r="C724" s="8">
        <v>45926</v>
      </c>
      <c r="D724" s="2" t="s">
        <v>12</v>
      </c>
      <c r="E724" s="2" t="s">
        <v>18</v>
      </c>
    </row>
    <row r="725" spans="1:5" x14ac:dyDescent="0.25">
      <c r="A725" s="2">
        <v>1227</v>
      </c>
      <c r="B725" s="2">
        <v>32</v>
      </c>
      <c r="C725" s="8">
        <v>45854</v>
      </c>
      <c r="D725" s="2" t="s">
        <v>20</v>
      </c>
      <c r="E725" s="2" t="s">
        <v>18</v>
      </c>
    </row>
    <row r="726" spans="1:5" x14ac:dyDescent="0.25">
      <c r="A726" s="2">
        <v>985</v>
      </c>
      <c r="B726" s="2">
        <v>24</v>
      </c>
      <c r="C726" s="8">
        <v>45779</v>
      </c>
      <c r="D726" s="2" t="s">
        <v>20</v>
      </c>
      <c r="E726" s="2" t="s">
        <v>13</v>
      </c>
    </row>
    <row r="727" spans="1:5" x14ac:dyDescent="0.25">
      <c r="A727" s="2">
        <v>1735</v>
      </c>
      <c r="B727" s="2">
        <v>44</v>
      </c>
      <c r="C727" s="8">
        <v>45914</v>
      </c>
      <c r="D727" s="2" t="s">
        <v>15</v>
      </c>
      <c r="E727" s="2" t="s">
        <v>16</v>
      </c>
    </row>
    <row r="728" spans="1:5" x14ac:dyDescent="0.25">
      <c r="A728" s="2">
        <v>2097</v>
      </c>
      <c r="B728" s="2">
        <v>57</v>
      </c>
      <c r="C728" s="8">
        <v>46012</v>
      </c>
      <c r="D728" s="2" t="s">
        <v>12</v>
      </c>
      <c r="E728" s="2" t="s">
        <v>16</v>
      </c>
    </row>
    <row r="729" spans="1:5" x14ac:dyDescent="0.25">
      <c r="A729" s="2">
        <v>347</v>
      </c>
      <c r="B729" s="2">
        <v>8</v>
      </c>
      <c r="C729" s="8">
        <v>45690</v>
      </c>
      <c r="D729" s="2" t="s">
        <v>12</v>
      </c>
      <c r="E729" s="2" t="s">
        <v>13</v>
      </c>
    </row>
    <row r="730" spans="1:5" x14ac:dyDescent="0.25">
      <c r="A730" s="2">
        <v>1341</v>
      </c>
      <c r="B730" s="2">
        <v>33</v>
      </c>
      <c r="C730" s="8">
        <v>45850</v>
      </c>
      <c r="D730" s="2" t="s">
        <v>12</v>
      </c>
      <c r="E730" s="2" t="s">
        <v>13</v>
      </c>
    </row>
    <row r="731" spans="1:5" x14ac:dyDescent="0.25">
      <c r="A731" s="2">
        <v>837</v>
      </c>
      <c r="B731" s="2">
        <v>21</v>
      </c>
      <c r="C731" s="8">
        <v>45788</v>
      </c>
      <c r="D731" s="2" t="s">
        <v>12</v>
      </c>
      <c r="E731" s="2" t="s">
        <v>16</v>
      </c>
    </row>
    <row r="732" spans="1:5" x14ac:dyDescent="0.25">
      <c r="A732" s="2">
        <v>669</v>
      </c>
      <c r="B732" s="2">
        <v>17</v>
      </c>
      <c r="C732" s="8">
        <v>45762</v>
      </c>
      <c r="D732" s="2" t="s">
        <v>15</v>
      </c>
      <c r="E732" s="2" t="s">
        <v>18</v>
      </c>
    </row>
    <row r="733" spans="1:5" x14ac:dyDescent="0.25">
      <c r="A733" s="2">
        <v>270</v>
      </c>
      <c r="B733" s="2">
        <v>7</v>
      </c>
      <c r="C733" s="8">
        <v>45708</v>
      </c>
      <c r="D733" s="2" t="s">
        <v>19</v>
      </c>
      <c r="E733" s="2" t="s">
        <v>16</v>
      </c>
    </row>
    <row r="734" spans="1:5" x14ac:dyDescent="0.25">
      <c r="A734" s="2">
        <v>483</v>
      </c>
      <c r="B734" s="2">
        <v>12</v>
      </c>
      <c r="C734" s="8">
        <v>45719</v>
      </c>
      <c r="D734" s="2" t="s">
        <v>20</v>
      </c>
      <c r="E734" s="2" t="s">
        <v>16</v>
      </c>
    </row>
    <row r="735" spans="1:5" x14ac:dyDescent="0.25">
      <c r="A735" s="2">
        <v>810</v>
      </c>
      <c r="B735" s="2">
        <v>20</v>
      </c>
      <c r="C735" s="8">
        <v>45753</v>
      </c>
      <c r="D735" s="2" t="s">
        <v>20</v>
      </c>
      <c r="E735" s="2" t="s">
        <v>18</v>
      </c>
    </row>
    <row r="736" spans="1:5" x14ac:dyDescent="0.25">
      <c r="A736" s="2">
        <v>114</v>
      </c>
      <c r="B736" s="2">
        <v>3</v>
      </c>
      <c r="C736" s="8">
        <v>45675</v>
      </c>
      <c r="D736" s="2" t="s">
        <v>19</v>
      </c>
      <c r="E736" s="2" t="s">
        <v>16</v>
      </c>
    </row>
    <row r="737" spans="1:5" x14ac:dyDescent="0.25">
      <c r="A737" s="2">
        <v>886</v>
      </c>
      <c r="B737" s="2">
        <v>22</v>
      </c>
      <c r="C737" s="8">
        <v>45802</v>
      </c>
      <c r="D737" s="2" t="s">
        <v>20</v>
      </c>
      <c r="E737" s="2" t="s">
        <v>13</v>
      </c>
    </row>
    <row r="738" spans="1:5" x14ac:dyDescent="0.25">
      <c r="A738" s="2">
        <v>1998</v>
      </c>
      <c r="B738" s="2">
        <v>52</v>
      </c>
      <c r="C738" s="8">
        <v>45985</v>
      </c>
      <c r="D738" s="2" t="s">
        <v>20</v>
      </c>
      <c r="E738" s="2" t="s">
        <v>13</v>
      </c>
    </row>
    <row r="739" spans="1:5" x14ac:dyDescent="0.25">
      <c r="A739" s="2">
        <v>1763</v>
      </c>
      <c r="B739" s="2">
        <v>46</v>
      </c>
      <c r="C739" s="8">
        <v>45953</v>
      </c>
      <c r="D739" s="2" t="s">
        <v>12</v>
      </c>
      <c r="E739" s="2" t="s">
        <v>14</v>
      </c>
    </row>
    <row r="740" spans="1:5" x14ac:dyDescent="0.25">
      <c r="A740" s="2">
        <v>780</v>
      </c>
      <c r="B740" s="2">
        <v>19</v>
      </c>
      <c r="C740" s="8">
        <v>45768</v>
      </c>
      <c r="D740" s="2" t="s">
        <v>19</v>
      </c>
      <c r="E740" s="2" t="s">
        <v>18</v>
      </c>
    </row>
    <row r="741" spans="1:5" x14ac:dyDescent="0.25">
      <c r="A741" s="2">
        <v>1102</v>
      </c>
      <c r="B741" s="2">
        <v>28</v>
      </c>
      <c r="C741" s="8">
        <v>45813</v>
      </c>
      <c r="D741" s="2" t="s">
        <v>15</v>
      </c>
      <c r="E741" s="2" t="s">
        <v>16</v>
      </c>
    </row>
    <row r="742" spans="1:5" x14ac:dyDescent="0.25">
      <c r="A742" s="2">
        <v>320</v>
      </c>
      <c r="B742" s="2">
        <v>8</v>
      </c>
      <c r="C742" s="8">
        <v>45700</v>
      </c>
      <c r="D742" s="2" t="s">
        <v>12</v>
      </c>
      <c r="E742" s="2" t="s">
        <v>18</v>
      </c>
    </row>
    <row r="743" spans="1:5" x14ac:dyDescent="0.25">
      <c r="A743" s="2">
        <v>783</v>
      </c>
      <c r="B743" s="2">
        <v>19</v>
      </c>
      <c r="C743" s="8">
        <v>45767</v>
      </c>
      <c r="D743" s="2" t="s">
        <v>12</v>
      </c>
      <c r="E743" s="2" t="s">
        <v>13</v>
      </c>
    </row>
    <row r="744" spans="1:5" x14ac:dyDescent="0.25">
      <c r="A744" s="2">
        <v>1792</v>
      </c>
      <c r="B744" s="2">
        <v>46</v>
      </c>
      <c r="C744" s="8">
        <v>45943</v>
      </c>
      <c r="D744" s="2" t="s">
        <v>20</v>
      </c>
      <c r="E744" s="2" t="s">
        <v>13</v>
      </c>
    </row>
    <row r="745" spans="1:5" x14ac:dyDescent="0.25">
      <c r="A745" s="2">
        <v>531</v>
      </c>
      <c r="B745" s="2">
        <v>13</v>
      </c>
      <c r="C745" s="8">
        <v>45730</v>
      </c>
      <c r="D745" s="2" t="s">
        <v>20</v>
      </c>
      <c r="E745" s="2" t="s">
        <v>18</v>
      </c>
    </row>
    <row r="746" spans="1:5" x14ac:dyDescent="0.25">
      <c r="A746" s="2">
        <v>1228</v>
      </c>
      <c r="B746" s="2">
        <v>32</v>
      </c>
      <c r="C746" s="8">
        <v>45852</v>
      </c>
      <c r="D746" s="2" t="s">
        <v>12</v>
      </c>
      <c r="E746" s="2" t="s">
        <v>14</v>
      </c>
    </row>
    <row r="747" spans="1:5" x14ac:dyDescent="0.25">
      <c r="A747" s="2">
        <v>1614</v>
      </c>
      <c r="B747" s="2">
        <v>42</v>
      </c>
      <c r="C747" s="8">
        <v>45903</v>
      </c>
      <c r="D747" s="2" t="s">
        <v>12</v>
      </c>
      <c r="E747" s="2" t="s">
        <v>16</v>
      </c>
    </row>
    <row r="748" spans="1:5" x14ac:dyDescent="0.25">
      <c r="A748" s="2">
        <v>548</v>
      </c>
      <c r="B748" s="2">
        <v>13</v>
      </c>
      <c r="C748" s="8">
        <v>45729</v>
      </c>
      <c r="D748" s="2" t="s">
        <v>20</v>
      </c>
      <c r="E748" s="2" t="s">
        <v>16</v>
      </c>
    </row>
    <row r="749" spans="1:5" x14ac:dyDescent="0.25">
      <c r="A749" s="2">
        <v>77</v>
      </c>
      <c r="B749" s="2">
        <v>2</v>
      </c>
      <c r="C749" s="8">
        <v>45667</v>
      </c>
      <c r="D749" s="2" t="s">
        <v>12</v>
      </c>
      <c r="E749" s="2" t="s">
        <v>18</v>
      </c>
    </row>
    <row r="750" spans="1:5" x14ac:dyDescent="0.25">
      <c r="A750" s="2">
        <v>1709</v>
      </c>
      <c r="B750" s="2">
        <v>44</v>
      </c>
      <c r="C750" s="8">
        <v>45911</v>
      </c>
      <c r="D750" s="2" t="s">
        <v>15</v>
      </c>
      <c r="E750" s="2" t="s">
        <v>16</v>
      </c>
    </row>
    <row r="751" spans="1:5" x14ac:dyDescent="0.25">
      <c r="A751" s="2">
        <v>1741</v>
      </c>
      <c r="B751" s="2">
        <v>45</v>
      </c>
      <c r="C751" s="8">
        <v>45923</v>
      </c>
      <c r="D751" s="2" t="s">
        <v>12</v>
      </c>
      <c r="E751" s="2" t="s">
        <v>13</v>
      </c>
    </row>
    <row r="752" spans="1:5" x14ac:dyDescent="0.25">
      <c r="A752" s="2">
        <v>1462</v>
      </c>
      <c r="B752" s="2">
        <v>38</v>
      </c>
      <c r="C752" s="8">
        <v>45879</v>
      </c>
      <c r="D752" s="2" t="s">
        <v>20</v>
      </c>
      <c r="E752" s="2" t="s">
        <v>16</v>
      </c>
    </row>
    <row r="753" spans="1:5" x14ac:dyDescent="0.25">
      <c r="A753" s="2">
        <v>935</v>
      </c>
      <c r="B753" s="2">
        <v>23</v>
      </c>
      <c r="C753" s="8">
        <v>45785</v>
      </c>
      <c r="D753" s="2" t="s">
        <v>12</v>
      </c>
      <c r="E753" s="2" t="s">
        <v>18</v>
      </c>
    </row>
    <row r="754" spans="1:5" x14ac:dyDescent="0.25">
      <c r="A754" s="2">
        <v>1333</v>
      </c>
      <c r="B754" s="2">
        <v>33</v>
      </c>
      <c r="C754" s="8">
        <v>45843</v>
      </c>
      <c r="D754" s="2" t="s">
        <v>20</v>
      </c>
      <c r="E754" s="2" t="s">
        <v>18</v>
      </c>
    </row>
    <row r="755" spans="1:5" x14ac:dyDescent="0.25">
      <c r="A755" s="2">
        <v>1334</v>
      </c>
      <c r="B755" s="2">
        <v>33</v>
      </c>
      <c r="C755" s="8">
        <v>45998</v>
      </c>
      <c r="D755" s="2" t="s">
        <v>12</v>
      </c>
      <c r="E755" s="2" t="s">
        <v>18</v>
      </c>
    </row>
    <row r="756" spans="1:5" x14ac:dyDescent="0.25">
      <c r="A756" s="2">
        <v>1740</v>
      </c>
      <c r="B756" s="2">
        <v>45</v>
      </c>
      <c r="C756" s="8">
        <v>45902</v>
      </c>
      <c r="D756" s="2" t="s">
        <v>15</v>
      </c>
      <c r="E756" s="2" t="s">
        <v>16</v>
      </c>
    </row>
    <row r="757" spans="1:5" x14ac:dyDescent="0.25">
      <c r="A757" s="2">
        <v>981</v>
      </c>
      <c r="B757" s="2">
        <v>24</v>
      </c>
      <c r="C757" s="8">
        <v>45794</v>
      </c>
      <c r="D757" s="2" t="s">
        <v>20</v>
      </c>
      <c r="E757" s="2" t="s">
        <v>14</v>
      </c>
    </row>
    <row r="758" spans="1:5" x14ac:dyDescent="0.25">
      <c r="A758" s="2">
        <v>230</v>
      </c>
      <c r="B758" s="2">
        <v>6</v>
      </c>
      <c r="C758" s="8">
        <v>45697</v>
      </c>
      <c r="D758" s="2" t="s">
        <v>19</v>
      </c>
      <c r="E758" s="2" t="s">
        <v>16</v>
      </c>
    </row>
    <row r="759" spans="1:5" x14ac:dyDescent="0.25">
      <c r="A759" s="2">
        <v>1750</v>
      </c>
      <c r="B759" s="2">
        <v>45</v>
      </c>
      <c r="C759" s="8">
        <v>45922</v>
      </c>
      <c r="D759" s="2" t="s">
        <v>12</v>
      </c>
      <c r="E759" s="2" t="s">
        <v>13</v>
      </c>
    </row>
    <row r="760" spans="1:5" x14ac:dyDescent="0.25">
      <c r="A760" s="2">
        <v>339</v>
      </c>
      <c r="B760" s="2">
        <v>8</v>
      </c>
      <c r="C760" s="8">
        <v>45698</v>
      </c>
      <c r="D760" s="2" t="s">
        <v>12</v>
      </c>
      <c r="E760" s="2" t="s">
        <v>16</v>
      </c>
    </row>
    <row r="761" spans="1:5" x14ac:dyDescent="0.25">
      <c r="A761" s="2">
        <v>2125</v>
      </c>
      <c r="B761" s="2">
        <v>59</v>
      </c>
      <c r="C761" s="8">
        <v>45994</v>
      </c>
      <c r="D761" s="2" t="s">
        <v>12</v>
      </c>
      <c r="E761" s="2" t="s">
        <v>14</v>
      </c>
    </row>
    <row r="762" spans="1:5" x14ac:dyDescent="0.25">
      <c r="A762" s="2">
        <v>616</v>
      </c>
      <c r="B762" s="2">
        <v>15</v>
      </c>
      <c r="C762" s="8">
        <v>45735</v>
      </c>
      <c r="D762" s="2" t="s">
        <v>20</v>
      </c>
      <c r="E762" s="2" t="s">
        <v>16</v>
      </c>
    </row>
    <row r="763" spans="1:5" x14ac:dyDescent="0.25">
      <c r="A763" s="2">
        <v>1752</v>
      </c>
      <c r="B763" s="2">
        <v>45</v>
      </c>
      <c r="C763" s="8">
        <v>45926</v>
      </c>
      <c r="D763" s="2" t="s">
        <v>20</v>
      </c>
      <c r="E763" s="2" t="s">
        <v>16</v>
      </c>
    </row>
    <row r="764" spans="1:5" x14ac:dyDescent="0.25">
      <c r="A764" s="2">
        <v>237</v>
      </c>
      <c r="B764" s="2">
        <v>6</v>
      </c>
      <c r="C764" s="8">
        <v>45702</v>
      </c>
      <c r="D764" s="2" t="s">
        <v>20</v>
      </c>
      <c r="E764" s="2" t="s">
        <v>18</v>
      </c>
    </row>
    <row r="765" spans="1:5" x14ac:dyDescent="0.25">
      <c r="A765" s="2">
        <v>511</v>
      </c>
      <c r="B765" s="2">
        <v>12</v>
      </c>
      <c r="C765" s="8">
        <v>45735</v>
      </c>
      <c r="D765" s="2" t="s">
        <v>20</v>
      </c>
      <c r="E765" s="2" t="s">
        <v>18</v>
      </c>
    </row>
    <row r="766" spans="1:5" x14ac:dyDescent="0.25">
      <c r="A766" s="2">
        <v>121</v>
      </c>
      <c r="B766" s="2">
        <v>3</v>
      </c>
      <c r="C766" s="8">
        <v>45685</v>
      </c>
      <c r="D766" s="2" t="s">
        <v>20</v>
      </c>
      <c r="E766" s="2" t="s">
        <v>13</v>
      </c>
    </row>
    <row r="767" spans="1:5" x14ac:dyDescent="0.25">
      <c r="A767" s="2">
        <v>104</v>
      </c>
      <c r="B767" s="2">
        <v>3</v>
      </c>
      <c r="C767" s="8">
        <v>45672</v>
      </c>
      <c r="D767" s="2" t="s">
        <v>12</v>
      </c>
      <c r="E767" s="2" t="s">
        <v>16</v>
      </c>
    </row>
    <row r="768" spans="1:5" x14ac:dyDescent="0.25">
      <c r="A768" s="2">
        <v>306</v>
      </c>
      <c r="B768" s="2">
        <v>7</v>
      </c>
      <c r="C768" s="8">
        <v>45699</v>
      </c>
      <c r="D768" s="2" t="s">
        <v>20</v>
      </c>
      <c r="E768" s="2" t="s">
        <v>13</v>
      </c>
    </row>
    <row r="769" spans="1:5" x14ac:dyDescent="0.25">
      <c r="A769" s="2">
        <v>530</v>
      </c>
      <c r="B769" s="2">
        <v>13</v>
      </c>
      <c r="C769" s="8">
        <v>45734</v>
      </c>
      <c r="D769" s="2" t="s">
        <v>12</v>
      </c>
      <c r="E769" s="2" t="s">
        <v>16</v>
      </c>
    </row>
    <row r="770" spans="1:5" x14ac:dyDescent="0.25">
      <c r="A770" s="2">
        <v>131</v>
      </c>
      <c r="B770" s="2">
        <v>3</v>
      </c>
      <c r="C770" s="8">
        <v>45684</v>
      </c>
      <c r="D770" s="2" t="s">
        <v>12</v>
      </c>
      <c r="E770" s="2" t="s">
        <v>14</v>
      </c>
    </row>
    <row r="771" spans="1:5" x14ac:dyDescent="0.25">
      <c r="A771" s="2">
        <v>1483</v>
      </c>
      <c r="B771" s="2">
        <v>38</v>
      </c>
      <c r="C771" s="8">
        <v>45893</v>
      </c>
      <c r="D771" s="2" t="s">
        <v>20</v>
      </c>
      <c r="E771" s="2" t="s">
        <v>18</v>
      </c>
    </row>
    <row r="772" spans="1:5" x14ac:dyDescent="0.25">
      <c r="A772" s="2">
        <v>2117</v>
      </c>
      <c r="B772" s="2">
        <v>58</v>
      </c>
      <c r="C772" s="8">
        <v>45996</v>
      </c>
      <c r="D772" s="2" t="s">
        <v>20</v>
      </c>
      <c r="E772" s="2" t="s">
        <v>18</v>
      </c>
    </row>
    <row r="773" spans="1:5" x14ac:dyDescent="0.25">
      <c r="A773" s="2">
        <v>73</v>
      </c>
      <c r="B773" s="2">
        <v>2</v>
      </c>
      <c r="C773" s="8">
        <v>45682</v>
      </c>
      <c r="D773" s="2" t="s">
        <v>15</v>
      </c>
      <c r="E773" s="2" t="s">
        <v>18</v>
      </c>
    </row>
    <row r="774" spans="1:5" x14ac:dyDescent="0.25">
      <c r="A774" s="2">
        <v>899</v>
      </c>
      <c r="B774" s="2">
        <v>22</v>
      </c>
      <c r="C774" s="8">
        <v>45785</v>
      </c>
      <c r="D774" s="2" t="s">
        <v>20</v>
      </c>
      <c r="E774" s="2" t="s">
        <v>16</v>
      </c>
    </row>
    <row r="775" spans="1:5" x14ac:dyDescent="0.25">
      <c r="A775" s="2">
        <v>641</v>
      </c>
      <c r="B775" s="2">
        <v>16</v>
      </c>
      <c r="C775" s="8">
        <v>45748</v>
      </c>
      <c r="D775" s="2" t="s">
        <v>12</v>
      </c>
      <c r="E775" s="2" t="s">
        <v>14</v>
      </c>
    </row>
    <row r="776" spans="1:5" x14ac:dyDescent="0.25">
      <c r="A776" s="2">
        <v>1541</v>
      </c>
      <c r="B776" s="2">
        <v>39</v>
      </c>
      <c r="C776" s="8">
        <v>45884</v>
      </c>
      <c r="D776" s="2" t="s">
        <v>19</v>
      </c>
      <c r="E776" s="2" t="s">
        <v>13</v>
      </c>
    </row>
    <row r="777" spans="1:5" x14ac:dyDescent="0.25">
      <c r="A777" s="2">
        <v>1220</v>
      </c>
      <c r="B777" s="2">
        <v>31</v>
      </c>
      <c r="C777" s="8">
        <v>45845</v>
      </c>
      <c r="D777" s="2" t="s">
        <v>12</v>
      </c>
      <c r="E777" s="2" t="s">
        <v>16</v>
      </c>
    </row>
    <row r="778" spans="1:5" x14ac:dyDescent="0.25">
      <c r="A778" s="2">
        <v>69</v>
      </c>
      <c r="B778" s="2">
        <v>2</v>
      </c>
      <c r="C778" s="8">
        <v>45673</v>
      </c>
      <c r="D778" s="2" t="s">
        <v>12</v>
      </c>
      <c r="E778" s="2" t="s">
        <v>13</v>
      </c>
    </row>
    <row r="779" spans="1:5" x14ac:dyDescent="0.25">
      <c r="A779" s="2">
        <v>2042</v>
      </c>
      <c r="B779" s="2">
        <v>54</v>
      </c>
      <c r="C779" s="8">
        <v>45964</v>
      </c>
      <c r="D779" s="2" t="s">
        <v>12</v>
      </c>
      <c r="E779" s="2" t="s">
        <v>14</v>
      </c>
    </row>
    <row r="780" spans="1:5" x14ac:dyDescent="0.25">
      <c r="A780" s="2">
        <v>573</v>
      </c>
      <c r="B780" s="2">
        <v>13</v>
      </c>
      <c r="C780" s="8">
        <v>45724</v>
      </c>
      <c r="D780" s="2" t="s">
        <v>12</v>
      </c>
      <c r="E780" s="2" t="s">
        <v>16</v>
      </c>
    </row>
    <row r="781" spans="1:5" x14ac:dyDescent="0.25">
      <c r="A781" s="2">
        <v>2116</v>
      </c>
      <c r="B781" s="2">
        <v>58</v>
      </c>
      <c r="C781" s="8">
        <v>46000</v>
      </c>
      <c r="D781" s="2" t="s">
        <v>12</v>
      </c>
      <c r="E781" s="2" t="s">
        <v>14</v>
      </c>
    </row>
    <row r="782" spans="1:5" x14ac:dyDescent="0.25">
      <c r="A782" s="2">
        <v>1928</v>
      </c>
      <c r="B782" s="2">
        <v>49</v>
      </c>
      <c r="C782" s="8">
        <v>45958</v>
      </c>
      <c r="D782" s="2" t="s">
        <v>12</v>
      </c>
      <c r="E782" s="2" t="s">
        <v>18</v>
      </c>
    </row>
    <row r="783" spans="1:5" x14ac:dyDescent="0.25">
      <c r="A783" s="2">
        <v>919</v>
      </c>
      <c r="B783" s="2">
        <v>23</v>
      </c>
      <c r="C783" s="8">
        <v>45786</v>
      </c>
      <c r="D783" s="2" t="s">
        <v>12</v>
      </c>
      <c r="E783" s="2" t="s">
        <v>13</v>
      </c>
    </row>
    <row r="784" spans="1:5" x14ac:dyDescent="0.25">
      <c r="A784" s="2">
        <v>1915</v>
      </c>
      <c r="B784" s="2">
        <v>49</v>
      </c>
      <c r="C784" s="8">
        <v>45951</v>
      </c>
      <c r="D784" s="2" t="s">
        <v>12</v>
      </c>
      <c r="E784" s="2" t="s">
        <v>18</v>
      </c>
    </row>
    <row r="785" spans="1:5" x14ac:dyDescent="0.25">
      <c r="A785" s="2">
        <v>486</v>
      </c>
      <c r="B785" s="2">
        <v>12</v>
      </c>
      <c r="C785" s="8">
        <v>45720</v>
      </c>
      <c r="D785" s="2" t="s">
        <v>19</v>
      </c>
      <c r="E785" s="2" t="s">
        <v>13</v>
      </c>
    </row>
    <row r="786" spans="1:5" x14ac:dyDescent="0.25">
      <c r="A786" s="2">
        <v>1027</v>
      </c>
      <c r="B786" s="2">
        <v>26</v>
      </c>
      <c r="C786" s="8">
        <v>45836</v>
      </c>
      <c r="D786" s="2" t="s">
        <v>17</v>
      </c>
      <c r="E786" s="2" t="s">
        <v>16</v>
      </c>
    </row>
    <row r="787" spans="1:5" x14ac:dyDescent="0.25">
      <c r="A787" s="2">
        <v>1477</v>
      </c>
      <c r="B787" s="2">
        <v>38</v>
      </c>
      <c r="C787" s="8">
        <v>45873</v>
      </c>
      <c r="D787" s="2" t="s">
        <v>19</v>
      </c>
      <c r="E787" s="2" t="s">
        <v>13</v>
      </c>
    </row>
    <row r="788" spans="1:5" x14ac:dyDescent="0.25">
      <c r="A788" s="2">
        <v>509</v>
      </c>
      <c r="B788" s="2">
        <v>12</v>
      </c>
      <c r="C788" s="8">
        <v>45741</v>
      </c>
      <c r="D788" s="2" t="s">
        <v>12</v>
      </c>
      <c r="E788" s="2" t="s">
        <v>16</v>
      </c>
    </row>
    <row r="789" spans="1:5" x14ac:dyDescent="0.25">
      <c r="A789" s="2">
        <v>1247</v>
      </c>
      <c r="B789" s="2">
        <v>32</v>
      </c>
      <c r="C789" s="8">
        <v>45851</v>
      </c>
      <c r="D789" s="2" t="s">
        <v>20</v>
      </c>
      <c r="E789" s="2" t="s">
        <v>18</v>
      </c>
    </row>
    <row r="790" spans="1:5" x14ac:dyDescent="0.25">
      <c r="A790" s="2">
        <v>658</v>
      </c>
      <c r="B790" s="2">
        <v>17</v>
      </c>
      <c r="C790" s="8">
        <v>45753</v>
      </c>
      <c r="D790" s="2" t="s">
        <v>20</v>
      </c>
      <c r="E790" s="2" t="s">
        <v>18</v>
      </c>
    </row>
    <row r="791" spans="1:5" x14ac:dyDescent="0.25">
      <c r="A791" s="2">
        <v>854</v>
      </c>
      <c r="B791" s="2">
        <v>21</v>
      </c>
      <c r="C791" s="8">
        <v>45780</v>
      </c>
      <c r="D791" s="2" t="s">
        <v>12</v>
      </c>
      <c r="E791" s="2" t="s">
        <v>13</v>
      </c>
    </row>
    <row r="792" spans="1:5" x14ac:dyDescent="0.25">
      <c r="A792" s="2">
        <v>1638</v>
      </c>
      <c r="B792" s="2">
        <v>43</v>
      </c>
      <c r="C792" s="8">
        <v>45922</v>
      </c>
      <c r="D792" s="2" t="s">
        <v>20</v>
      </c>
      <c r="E792" s="2" t="s">
        <v>13</v>
      </c>
    </row>
    <row r="793" spans="1:5" x14ac:dyDescent="0.25">
      <c r="A793" s="2">
        <v>699</v>
      </c>
      <c r="B793" s="2">
        <v>18</v>
      </c>
      <c r="C793" s="8">
        <v>45751</v>
      </c>
      <c r="D793" s="2" t="s">
        <v>19</v>
      </c>
      <c r="E793" s="2" t="s">
        <v>16</v>
      </c>
    </row>
    <row r="794" spans="1:5" x14ac:dyDescent="0.25">
      <c r="A794" s="2">
        <v>996</v>
      </c>
      <c r="B794" s="2">
        <v>25</v>
      </c>
      <c r="C794" s="8">
        <v>45791</v>
      </c>
      <c r="D794" s="2" t="s">
        <v>12</v>
      </c>
      <c r="E794" s="2" t="s">
        <v>18</v>
      </c>
    </row>
    <row r="795" spans="1:5" x14ac:dyDescent="0.25">
      <c r="A795" s="2">
        <v>1261</v>
      </c>
      <c r="B795" s="2">
        <v>32</v>
      </c>
      <c r="C795" s="8">
        <v>45866</v>
      </c>
      <c r="D795" s="2" t="s">
        <v>20</v>
      </c>
      <c r="E795" s="2" t="s">
        <v>18</v>
      </c>
    </row>
    <row r="796" spans="1:5" x14ac:dyDescent="0.25">
      <c r="A796" s="2">
        <v>1292</v>
      </c>
      <c r="B796" s="2">
        <v>33</v>
      </c>
      <c r="C796" s="8">
        <v>45857</v>
      </c>
      <c r="D796" s="2" t="s">
        <v>20</v>
      </c>
      <c r="E796" s="2" t="s">
        <v>16</v>
      </c>
    </row>
    <row r="797" spans="1:5" x14ac:dyDescent="0.25">
      <c r="A797" s="2">
        <v>986</v>
      </c>
      <c r="B797" s="2">
        <v>25</v>
      </c>
      <c r="C797" s="8">
        <v>45781</v>
      </c>
      <c r="D797" s="2" t="s">
        <v>19</v>
      </c>
      <c r="E797" s="2" t="s">
        <v>16</v>
      </c>
    </row>
    <row r="798" spans="1:5" x14ac:dyDescent="0.25">
      <c r="A798" s="2">
        <v>582</v>
      </c>
      <c r="B798" s="2">
        <v>13</v>
      </c>
      <c r="C798" s="8">
        <v>45719</v>
      </c>
      <c r="D798" s="2" t="s">
        <v>20</v>
      </c>
      <c r="E798" s="2" t="s">
        <v>13</v>
      </c>
    </row>
    <row r="799" spans="1:5" x14ac:dyDescent="0.25">
      <c r="A799" s="2">
        <v>1755</v>
      </c>
      <c r="B799" s="2">
        <v>45</v>
      </c>
      <c r="C799" s="8">
        <v>45907</v>
      </c>
      <c r="D799" s="2" t="s">
        <v>20</v>
      </c>
      <c r="E799" s="2" t="s">
        <v>13</v>
      </c>
    </row>
    <row r="800" spans="1:5" x14ac:dyDescent="0.25">
      <c r="A800" s="2">
        <v>793</v>
      </c>
      <c r="B800" s="2">
        <v>19</v>
      </c>
      <c r="C800" s="8">
        <v>45764</v>
      </c>
      <c r="D800" s="2" t="s">
        <v>12</v>
      </c>
      <c r="E800" s="2" t="s">
        <v>13</v>
      </c>
    </row>
    <row r="801" spans="1:5" x14ac:dyDescent="0.25">
      <c r="A801" s="2">
        <v>2055</v>
      </c>
      <c r="B801" s="2">
        <v>54</v>
      </c>
      <c r="C801" s="8">
        <v>45970</v>
      </c>
      <c r="D801" s="2" t="s">
        <v>20</v>
      </c>
      <c r="E801" s="2" t="s">
        <v>16</v>
      </c>
    </row>
    <row r="802" spans="1:5" x14ac:dyDescent="0.25">
      <c r="A802" s="2">
        <v>6</v>
      </c>
      <c r="B802" s="2">
        <v>1</v>
      </c>
      <c r="C802" s="8">
        <v>45669</v>
      </c>
      <c r="D802" s="2" t="s">
        <v>15</v>
      </c>
      <c r="E802" s="2" t="s">
        <v>18</v>
      </c>
    </row>
    <row r="803" spans="1:5" x14ac:dyDescent="0.25">
      <c r="A803" s="2">
        <v>1861</v>
      </c>
      <c r="B803" s="2">
        <v>48</v>
      </c>
      <c r="C803" s="8">
        <v>45949</v>
      </c>
      <c r="D803" s="2" t="s">
        <v>15</v>
      </c>
      <c r="E803" s="2" t="s">
        <v>13</v>
      </c>
    </row>
    <row r="804" spans="1:5" x14ac:dyDescent="0.25">
      <c r="A804" s="2">
        <v>1866</v>
      </c>
      <c r="B804" s="2">
        <v>48</v>
      </c>
      <c r="C804" s="8">
        <v>45938</v>
      </c>
      <c r="D804" s="2" t="s">
        <v>19</v>
      </c>
      <c r="E804" s="2" t="s">
        <v>13</v>
      </c>
    </row>
    <row r="805" spans="1:5" x14ac:dyDescent="0.25">
      <c r="A805" s="2">
        <v>209</v>
      </c>
      <c r="B805" s="2">
        <v>4</v>
      </c>
      <c r="C805" s="8">
        <v>45660</v>
      </c>
      <c r="D805" s="2" t="s">
        <v>17</v>
      </c>
      <c r="E805" s="2" t="s">
        <v>13</v>
      </c>
    </row>
    <row r="806" spans="1:5" x14ac:dyDescent="0.25">
      <c r="A806" s="2">
        <v>870</v>
      </c>
      <c r="B806" s="2">
        <v>22</v>
      </c>
      <c r="C806" s="8">
        <v>45805</v>
      </c>
      <c r="D806" s="2" t="s">
        <v>15</v>
      </c>
      <c r="E806" s="2" t="s">
        <v>18</v>
      </c>
    </row>
    <row r="807" spans="1:5" x14ac:dyDescent="0.25">
      <c r="A807" s="2">
        <v>1250</v>
      </c>
      <c r="B807" s="2">
        <v>32</v>
      </c>
      <c r="C807" s="8">
        <v>45840</v>
      </c>
      <c r="D807" s="2" t="s">
        <v>12</v>
      </c>
      <c r="E807" s="2" t="s">
        <v>13</v>
      </c>
    </row>
    <row r="808" spans="1:5" x14ac:dyDescent="0.25">
      <c r="A808" s="2">
        <v>645</v>
      </c>
      <c r="B808" s="2">
        <v>16</v>
      </c>
      <c r="C808" s="8">
        <v>45773</v>
      </c>
      <c r="D808" s="2" t="s">
        <v>12</v>
      </c>
      <c r="E808" s="2" t="s">
        <v>14</v>
      </c>
    </row>
    <row r="809" spans="1:5" x14ac:dyDescent="0.25">
      <c r="A809" s="2">
        <v>25</v>
      </c>
      <c r="B809" s="2">
        <v>1</v>
      </c>
      <c r="C809" s="8">
        <v>45667</v>
      </c>
      <c r="D809" s="2" t="s">
        <v>15</v>
      </c>
      <c r="E809" s="2" t="s">
        <v>18</v>
      </c>
    </row>
    <row r="810" spans="1:5" x14ac:dyDescent="0.25">
      <c r="A810" s="2">
        <v>2062</v>
      </c>
      <c r="B810" s="2">
        <v>55</v>
      </c>
      <c r="C810" s="8">
        <v>45966</v>
      </c>
      <c r="D810" s="2" t="s">
        <v>12</v>
      </c>
      <c r="E810" s="2" t="s">
        <v>16</v>
      </c>
    </row>
    <row r="811" spans="1:5" x14ac:dyDescent="0.25">
      <c r="A811" s="2">
        <v>1435</v>
      </c>
      <c r="B811" s="2">
        <v>37</v>
      </c>
      <c r="C811" s="8">
        <v>45873</v>
      </c>
      <c r="D811" s="2" t="s">
        <v>20</v>
      </c>
      <c r="E811" s="2" t="s">
        <v>13</v>
      </c>
    </row>
    <row r="812" spans="1:5" x14ac:dyDescent="0.25">
      <c r="A812" s="2">
        <v>1485</v>
      </c>
      <c r="B812" s="2">
        <v>38</v>
      </c>
      <c r="C812" s="8">
        <v>45894</v>
      </c>
      <c r="D812" s="2" t="s">
        <v>20</v>
      </c>
      <c r="E812" s="2" t="s">
        <v>14</v>
      </c>
    </row>
    <row r="813" spans="1:5" x14ac:dyDescent="0.25">
      <c r="A813" s="2">
        <v>809</v>
      </c>
      <c r="B813" s="2">
        <v>20</v>
      </c>
      <c r="C813" s="8">
        <v>45761</v>
      </c>
      <c r="D813" s="2" t="s">
        <v>12</v>
      </c>
      <c r="E813" s="2" t="s">
        <v>18</v>
      </c>
    </row>
    <row r="814" spans="1:5" x14ac:dyDescent="0.25">
      <c r="A814" s="2">
        <v>1822</v>
      </c>
      <c r="B814" s="2">
        <v>47</v>
      </c>
      <c r="C814" s="8">
        <v>45955</v>
      </c>
      <c r="D814" s="2" t="s">
        <v>20</v>
      </c>
      <c r="E814" s="2" t="s">
        <v>13</v>
      </c>
    </row>
    <row r="815" spans="1:5" x14ac:dyDescent="0.25">
      <c r="A815" s="2">
        <v>2093</v>
      </c>
      <c r="B815" s="2">
        <v>57</v>
      </c>
      <c r="C815" s="8">
        <v>46017</v>
      </c>
      <c r="D815" s="2" t="s">
        <v>12</v>
      </c>
      <c r="E815" s="2" t="s">
        <v>14</v>
      </c>
    </row>
    <row r="816" spans="1:5" x14ac:dyDescent="0.25">
      <c r="A816" s="2">
        <v>1124</v>
      </c>
      <c r="B816" s="2">
        <v>28</v>
      </c>
      <c r="C816" s="8">
        <v>45835</v>
      </c>
      <c r="D816" s="2" t="s">
        <v>19</v>
      </c>
      <c r="E816" s="2" t="s">
        <v>16</v>
      </c>
    </row>
    <row r="817" spans="1:5" x14ac:dyDescent="0.25">
      <c r="A817" s="2">
        <v>988</v>
      </c>
      <c r="B817" s="2">
        <v>25</v>
      </c>
      <c r="C817" s="8">
        <v>45792</v>
      </c>
      <c r="D817" s="2" t="s">
        <v>12</v>
      </c>
      <c r="E817" s="2" t="s">
        <v>14</v>
      </c>
    </row>
    <row r="818" spans="1:5" x14ac:dyDescent="0.25">
      <c r="A818" s="2">
        <v>1286</v>
      </c>
      <c r="B818" s="2">
        <v>33</v>
      </c>
      <c r="C818" s="8">
        <v>45695</v>
      </c>
      <c r="D818" s="2" t="s">
        <v>12</v>
      </c>
      <c r="E818" s="2" t="s">
        <v>18</v>
      </c>
    </row>
    <row r="819" spans="1:5" x14ac:dyDescent="0.25">
      <c r="A819" s="2">
        <v>1206</v>
      </c>
      <c r="B819" s="2">
        <v>31</v>
      </c>
      <c r="C819" s="8">
        <v>45865</v>
      </c>
      <c r="D819" s="2" t="s">
        <v>12</v>
      </c>
      <c r="E819" s="2" t="s">
        <v>16</v>
      </c>
    </row>
    <row r="820" spans="1:5" x14ac:dyDescent="0.25">
      <c r="A820" s="2">
        <v>1127</v>
      </c>
      <c r="B820" s="2">
        <v>28</v>
      </c>
      <c r="C820" s="8">
        <v>45826</v>
      </c>
      <c r="D820" s="2" t="s">
        <v>20</v>
      </c>
      <c r="E820" s="2" t="s">
        <v>13</v>
      </c>
    </row>
    <row r="821" spans="1:5" x14ac:dyDescent="0.25">
      <c r="A821" s="2">
        <v>1949</v>
      </c>
      <c r="B821" s="2">
        <v>51</v>
      </c>
      <c r="C821" s="8">
        <v>45974</v>
      </c>
      <c r="D821" s="2" t="s">
        <v>12</v>
      </c>
      <c r="E821" s="2" t="s">
        <v>16</v>
      </c>
    </row>
    <row r="822" spans="1:5" x14ac:dyDescent="0.25">
      <c r="A822" s="2">
        <v>1122</v>
      </c>
      <c r="B822" s="2">
        <v>28</v>
      </c>
      <c r="C822" s="8">
        <v>45826</v>
      </c>
      <c r="D822" s="2" t="s">
        <v>12</v>
      </c>
      <c r="E822" s="2" t="s">
        <v>16</v>
      </c>
    </row>
    <row r="823" spans="1:5" x14ac:dyDescent="0.25">
      <c r="A823" s="2">
        <v>1556</v>
      </c>
      <c r="B823" s="2">
        <v>40</v>
      </c>
      <c r="C823" s="8">
        <v>45887</v>
      </c>
      <c r="D823" s="2" t="s">
        <v>20</v>
      </c>
      <c r="E823" s="2" t="s">
        <v>14</v>
      </c>
    </row>
    <row r="824" spans="1:5" x14ac:dyDescent="0.25">
      <c r="A824" s="2">
        <v>1419</v>
      </c>
      <c r="B824" s="2">
        <v>37</v>
      </c>
      <c r="C824" s="8">
        <v>45874</v>
      </c>
      <c r="D824" s="2" t="s">
        <v>15</v>
      </c>
      <c r="E824" s="2" t="s">
        <v>18</v>
      </c>
    </row>
    <row r="825" spans="1:5" x14ac:dyDescent="0.25">
      <c r="A825" s="2">
        <v>1742</v>
      </c>
      <c r="B825" s="2">
        <v>45</v>
      </c>
      <c r="C825" s="8">
        <v>45924</v>
      </c>
      <c r="D825" s="2" t="s">
        <v>12</v>
      </c>
      <c r="E825" s="2" t="s">
        <v>18</v>
      </c>
    </row>
    <row r="826" spans="1:5" x14ac:dyDescent="0.25">
      <c r="A826" s="2">
        <v>1224</v>
      </c>
      <c r="B826" s="2">
        <v>32</v>
      </c>
      <c r="C826" s="8">
        <v>45864</v>
      </c>
      <c r="D826" s="2" t="s">
        <v>15</v>
      </c>
      <c r="E826" s="2" t="s">
        <v>18</v>
      </c>
    </row>
    <row r="827" spans="1:5" x14ac:dyDescent="0.25">
      <c r="A827" s="2">
        <v>1353</v>
      </c>
      <c r="B827" s="2">
        <v>34</v>
      </c>
      <c r="C827" s="8">
        <v>45843</v>
      </c>
      <c r="D827" s="2" t="s">
        <v>12</v>
      </c>
      <c r="E827" s="2" t="s">
        <v>18</v>
      </c>
    </row>
    <row r="828" spans="1:5" x14ac:dyDescent="0.25">
      <c r="A828" s="2">
        <v>588</v>
      </c>
      <c r="B828" s="2">
        <v>13</v>
      </c>
      <c r="C828" s="8">
        <v>45737</v>
      </c>
      <c r="D828" s="2" t="s">
        <v>17</v>
      </c>
      <c r="E828" s="2" t="s">
        <v>18</v>
      </c>
    </row>
    <row r="829" spans="1:5" x14ac:dyDescent="0.25">
      <c r="A829" s="2">
        <v>1546</v>
      </c>
      <c r="B829" s="2">
        <v>39</v>
      </c>
      <c r="C829" s="8">
        <v>45888</v>
      </c>
      <c r="D829" s="2" t="s">
        <v>12</v>
      </c>
      <c r="E829" s="2" t="s">
        <v>18</v>
      </c>
    </row>
    <row r="830" spans="1:5" x14ac:dyDescent="0.25">
      <c r="A830" s="2">
        <v>137</v>
      </c>
      <c r="B830" s="2">
        <v>3</v>
      </c>
      <c r="C830" s="8">
        <v>45676</v>
      </c>
      <c r="D830" s="2" t="s">
        <v>12</v>
      </c>
      <c r="E830" s="2" t="s">
        <v>14</v>
      </c>
    </row>
    <row r="831" spans="1:5" x14ac:dyDescent="0.25">
      <c r="A831" s="2">
        <v>387</v>
      </c>
      <c r="B831" s="2">
        <v>9</v>
      </c>
      <c r="C831" s="8">
        <v>45716</v>
      </c>
      <c r="D831" s="2" t="s">
        <v>15</v>
      </c>
      <c r="E831" s="2" t="s">
        <v>14</v>
      </c>
    </row>
    <row r="832" spans="1:5" x14ac:dyDescent="0.25">
      <c r="A832" s="2">
        <v>461</v>
      </c>
      <c r="B832" s="2">
        <v>12</v>
      </c>
      <c r="C832" s="8">
        <v>45721</v>
      </c>
      <c r="D832" s="2" t="s">
        <v>12</v>
      </c>
      <c r="E832" s="2" t="s">
        <v>13</v>
      </c>
    </row>
    <row r="833" spans="1:5" x14ac:dyDescent="0.25">
      <c r="A833" s="2">
        <v>2014</v>
      </c>
      <c r="B833" s="2">
        <v>53</v>
      </c>
      <c r="C833" s="8">
        <v>45977</v>
      </c>
      <c r="D833" s="2" t="s">
        <v>12</v>
      </c>
      <c r="E833" s="2" t="s">
        <v>18</v>
      </c>
    </row>
    <row r="834" spans="1:5" x14ac:dyDescent="0.25">
      <c r="A834" s="2">
        <v>2025</v>
      </c>
      <c r="B834" s="2">
        <v>53</v>
      </c>
      <c r="C834" s="8">
        <v>45967</v>
      </c>
      <c r="D834" s="2" t="s">
        <v>15</v>
      </c>
      <c r="E834" s="2" t="s">
        <v>13</v>
      </c>
    </row>
    <row r="835" spans="1:5" x14ac:dyDescent="0.25">
      <c r="A835" s="2">
        <v>329</v>
      </c>
      <c r="B835" s="2">
        <v>8</v>
      </c>
      <c r="C835" s="8">
        <v>45700</v>
      </c>
      <c r="D835" s="2" t="s">
        <v>12</v>
      </c>
      <c r="E835" s="2" t="s">
        <v>13</v>
      </c>
    </row>
    <row r="836" spans="1:5" x14ac:dyDescent="0.25">
      <c r="A836" s="2">
        <v>1177</v>
      </c>
      <c r="B836" s="2">
        <v>30</v>
      </c>
      <c r="C836" s="8">
        <v>45813</v>
      </c>
      <c r="D836" s="2" t="s">
        <v>19</v>
      </c>
      <c r="E836" s="2" t="s">
        <v>13</v>
      </c>
    </row>
    <row r="837" spans="1:5" x14ac:dyDescent="0.25">
      <c r="A837" s="2">
        <v>2053</v>
      </c>
      <c r="B837" s="2">
        <v>54</v>
      </c>
      <c r="C837" s="8">
        <v>45981</v>
      </c>
      <c r="D837" s="2" t="s">
        <v>20</v>
      </c>
      <c r="E837" s="2" t="s">
        <v>16</v>
      </c>
    </row>
    <row r="838" spans="1:5" x14ac:dyDescent="0.25">
      <c r="A838" s="2">
        <v>647</v>
      </c>
      <c r="B838" s="2">
        <v>16</v>
      </c>
      <c r="C838" s="8">
        <v>45749</v>
      </c>
      <c r="D838" s="2" t="s">
        <v>15</v>
      </c>
      <c r="E838" s="2" t="s">
        <v>18</v>
      </c>
    </row>
    <row r="839" spans="1:5" x14ac:dyDescent="0.25">
      <c r="A839" s="2">
        <v>1154</v>
      </c>
      <c r="B839" s="2">
        <v>29</v>
      </c>
      <c r="C839" s="8">
        <v>45813</v>
      </c>
      <c r="D839" s="2" t="s">
        <v>12</v>
      </c>
      <c r="E839" s="2" t="s">
        <v>18</v>
      </c>
    </row>
    <row r="840" spans="1:5" x14ac:dyDescent="0.25">
      <c r="A840" s="2">
        <v>1257</v>
      </c>
      <c r="B840" s="2">
        <v>32</v>
      </c>
      <c r="C840" s="8">
        <v>45855</v>
      </c>
      <c r="D840" s="2" t="s">
        <v>20</v>
      </c>
      <c r="E840" s="2" t="s">
        <v>13</v>
      </c>
    </row>
    <row r="841" spans="1:5" x14ac:dyDescent="0.25">
      <c r="A841" s="2">
        <v>1892</v>
      </c>
      <c r="B841" s="2">
        <v>48</v>
      </c>
      <c r="C841" s="8">
        <v>45932</v>
      </c>
      <c r="D841" s="2" t="s">
        <v>15</v>
      </c>
      <c r="E841" s="2" t="s">
        <v>14</v>
      </c>
    </row>
    <row r="842" spans="1:5" x14ac:dyDescent="0.25">
      <c r="A842" s="2">
        <v>453</v>
      </c>
      <c r="B842" s="2">
        <v>11</v>
      </c>
      <c r="C842" s="8">
        <v>45728</v>
      </c>
      <c r="D842" s="2" t="s">
        <v>12</v>
      </c>
      <c r="E842" s="2" t="s">
        <v>13</v>
      </c>
    </row>
    <row r="843" spans="1:5" x14ac:dyDescent="0.25">
      <c r="A843" s="2">
        <v>1947</v>
      </c>
      <c r="B843" s="2">
        <v>51</v>
      </c>
      <c r="C843" s="8">
        <v>45985</v>
      </c>
      <c r="D843" s="2" t="s">
        <v>12</v>
      </c>
      <c r="E843" s="2" t="s">
        <v>16</v>
      </c>
    </row>
    <row r="844" spans="1:5" x14ac:dyDescent="0.25">
      <c r="A844" s="2">
        <v>2029</v>
      </c>
      <c r="B844" s="2">
        <v>53</v>
      </c>
      <c r="C844" s="8">
        <v>45984</v>
      </c>
      <c r="D844" s="2" t="s">
        <v>20</v>
      </c>
      <c r="E844" s="2" t="s">
        <v>18</v>
      </c>
    </row>
    <row r="845" spans="1:5" x14ac:dyDescent="0.25">
      <c r="A845" s="2">
        <v>39</v>
      </c>
      <c r="B845" s="2">
        <v>2</v>
      </c>
      <c r="C845" s="8">
        <v>45678</v>
      </c>
      <c r="D845" s="2" t="s">
        <v>20</v>
      </c>
      <c r="E845" s="2" t="s">
        <v>16</v>
      </c>
    </row>
    <row r="846" spans="1:5" x14ac:dyDescent="0.25">
      <c r="A846" s="2">
        <v>118</v>
      </c>
      <c r="B846" s="2">
        <v>3</v>
      </c>
      <c r="C846" s="8">
        <v>45674</v>
      </c>
      <c r="D846" s="2" t="s">
        <v>15</v>
      </c>
      <c r="E846" s="2" t="s">
        <v>18</v>
      </c>
    </row>
    <row r="847" spans="1:5" x14ac:dyDescent="0.25">
      <c r="A847" s="2">
        <v>257</v>
      </c>
      <c r="B847" s="2">
        <v>6</v>
      </c>
      <c r="C847" s="8">
        <v>45713</v>
      </c>
      <c r="D847" s="2" t="s">
        <v>12</v>
      </c>
      <c r="E847" s="2" t="s">
        <v>16</v>
      </c>
    </row>
    <row r="848" spans="1:5" x14ac:dyDescent="0.25">
      <c r="A848" s="2">
        <v>2067</v>
      </c>
      <c r="B848" s="2">
        <v>56</v>
      </c>
      <c r="C848" s="8">
        <v>46002</v>
      </c>
      <c r="D848" s="2" t="s">
        <v>12</v>
      </c>
      <c r="E848" s="2" t="s">
        <v>16</v>
      </c>
    </row>
    <row r="849" spans="1:5" x14ac:dyDescent="0.25">
      <c r="A849" s="2">
        <v>1829</v>
      </c>
      <c r="B849" s="2">
        <v>47</v>
      </c>
      <c r="C849" s="8">
        <v>45952</v>
      </c>
      <c r="D849" s="2" t="s">
        <v>19</v>
      </c>
      <c r="E849" s="2" t="s">
        <v>13</v>
      </c>
    </row>
    <row r="850" spans="1:5" x14ac:dyDescent="0.25">
      <c r="A850" s="2">
        <v>1121</v>
      </c>
      <c r="B850" s="2">
        <v>28</v>
      </c>
      <c r="C850" s="8">
        <v>45816</v>
      </c>
      <c r="D850" s="2" t="s">
        <v>20</v>
      </c>
      <c r="E850" s="2" t="s">
        <v>16</v>
      </c>
    </row>
    <row r="851" spans="1:5" x14ac:dyDescent="0.25">
      <c r="A851" s="2">
        <v>1679</v>
      </c>
      <c r="B851" s="2">
        <v>43</v>
      </c>
      <c r="C851" s="8">
        <v>45920</v>
      </c>
      <c r="D851" s="2" t="s">
        <v>12</v>
      </c>
      <c r="E851" s="2" t="s">
        <v>16</v>
      </c>
    </row>
    <row r="852" spans="1:5" x14ac:dyDescent="0.25">
      <c r="A852" s="2">
        <v>1188</v>
      </c>
      <c r="B852" s="2">
        <v>30</v>
      </c>
      <c r="C852" s="8">
        <v>45828</v>
      </c>
      <c r="D852" s="2" t="s">
        <v>12</v>
      </c>
      <c r="E852" s="2" t="s">
        <v>18</v>
      </c>
    </row>
    <row r="853" spans="1:5" x14ac:dyDescent="0.25">
      <c r="A853" s="2">
        <v>394</v>
      </c>
      <c r="B853" s="2">
        <v>9</v>
      </c>
      <c r="C853" s="8">
        <v>45692</v>
      </c>
      <c r="D853" s="2" t="s">
        <v>12</v>
      </c>
      <c r="E853" s="2" t="s">
        <v>16</v>
      </c>
    </row>
    <row r="854" spans="1:5" x14ac:dyDescent="0.25">
      <c r="A854" s="2">
        <v>1927</v>
      </c>
      <c r="B854" s="2">
        <v>49</v>
      </c>
      <c r="C854" s="8">
        <v>45941</v>
      </c>
      <c r="D854" s="2" t="s">
        <v>15</v>
      </c>
      <c r="E854" s="2" t="s">
        <v>16</v>
      </c>
    </row>
    <row r="855" spans="1:5" x14ac:dyDescent="0.25">
      <c r="A855" s="2">
        <v>922</v>
      </c>
      <c r="B855" s="2">
        <v>23</v>
      </c>
      <c r="C855" s="8">
        <v>45782</v>
      </c>
      <c r="D855" s="2" t="s">
        <v>12</v>
      </c>
      <c r="E855" s="2" t="s">
        <v>16</v>
      </c>
    </row>
    <row r="856" spans="1:5" x14ac:dyDescent="0.25">
      <c r="A856" s="2">
        <v>1437</v>
      </c>
      <c r="B856" s="2">
        <v>38</v>
      </c>
      <c r="C856" s="8">
        <v>45895</v>
      </c>
      <c r="D856" s="2" t="s">
        <v>20</v>
      </c>
      <c r="E856" s="2" t="s">
        <v>18</v>
      </c>
    </row>
    <row r="857" spans="1:5" x14ac:dyDescent="0.25">
      <c r="A857" s="2">
        <v>1873</v>
      </c>
      <c r="B857" s="2">
        <v>48</v>
      </c>
      <c r="C857" s="8">
        <v>45954</v>
      </c>
      <c r="D857" s="2" t="s">
        <v>17</v>
      </c>
      <c r="E857" s="2" t="s">
        <v>18</v>
      </c>
    </row>
    <row r="858" spans="1:5" x14ac:dyDescent="0.25">
      <c r="A858" s="2">
        <v>815</v>
      </c>
      <c r="B858" s="2">
        <v>20</v>
      </c>
      <c r="C858" s="8">
        <v>45770</v>
      </c>
      <c r="D858" s="2" t="s">
        <v>12</v>
      </c>
      <c r="E858" s="2" t="s">
        <v>18</v>
      </c>
    </row>
    <row r="859" spans="1:5" x14ac:dyDescent="0.25">
      <c r="A859" s="2">
        <v>874</v>
      </c>
      <c r="B859" s="2">
        <v>22</v>
      </c>
      <c r="C859" s="8">
        <v>45797</v>
      </c>
      <c r="D859" s="2" t="s">
        <v>20</v>
      </c>
      <c r="E859" s="2" t="s">
        <v>13</v>
      </c>
    </row>
    <row r="860" spans="1:5" x14ac:dyDescent="0.25">
      <c r="A860" s="2">
        <v>828</v>
      </c>
      <c r="B860" s="2">
        <v>21</v>
      </c>
      <c r="C860" s="8">
        <v>45800</v>
      </c>
      <c r="D860" s="2" t="s">
        <v>15</v>
      </c>
      <c r="E860" s="2" t="s">
        <v>18</v>
      </c>
    </row>
    <row r="861" spans="1:5" x14ac:dyDescent="0.25">
      <c r="A861" s="2">
        <v>791</v>
      </c>
      <c r="B861" s="2">
        <v>19</v>
      </c>
      <c r="C861" s="8">
        <v>45763</v>
      </c>
      <c r="D861" s="2" t="s">
        <v>15</v>
      </c>
      <c r="E861" s="2" t="s">
        <v>18</v>
      </c>
    </row>
    <row r="862" spans="1:5" x14ac:dyDescent="0.25">
      <c r="A862" s="2">
        <v>2070</v>
      </c>
      <c r="B862" s="2">
        <v>56</v>
      </c>
      <c r="C862" s="8">
        <v>45997</v>
      </c>
      <c r="D862" s="2" t="s">
        <v>12</v>
      </c>
      <c r="E862" s="2" t="s">
        <v>16</v>
      </c>
    </row>
    <row r="863" spans="1:5" x14ac:dyDescent="0.25">
      <c r="A863" s="2">
        <v>779</v>
      </c>
      <c r="B863" s="2">
        <v>18</v>
      </c>
      <c r="C863" s="8">
        <v>45762</v>
      </c>
      <c r="D863" s="2" t="s">
        <v>20</v>
      </c>
      <c r="E863" s="2" t="s">
        <v>16</v>
      </c>
    </row>
    <row r="864" spans="1:5" x14ac:dyDescent="0.25">
      <c r="A864" s="2">
        <v>1125</v>
      </c>
      <c r="B864" s="2">
        <v>28</v>
      </c>
      <c r="C864" s="8">
        <v>45823</v>
      </c>
      <c r="D864" s="2" t="s">
        <v>12</v>
      </c>
      <c r="E864" s="2" t="s">
        <v>18</v>
      </c>
    </row>
    <row r="865" spans="1:5" x14ac:dyDescent="0.25">
      <c r="A865" s="2">
        <v>984</v>
      </c>
      <c r="B865" s="2">
        <v>24</v>
      </c>
      <c r="C865" s="8">
        <v>45781</v>
      </c>
      <c r="D865" s="2" t="s">
        <v>15</v>
      </c>
      <c r="E865" s="2" t="s">
        <v>13</v>
      </c>
    </row>
    <row r="866" spans="1:5" x14ac:dyDescent="0.25">
      <c r="A866" s="2">
        <v>2136</v>
      </c>
      <c r="B866" s="2">
        <v>60</v>
      </c>
      <c r="C866" s="8">
        <v>46014</v>
      </c>
      <c r="D866" s="2" t="s">
        <v>20</v>
      </c>
      <c r="E866" s="2" t="s">
        <v>18</v>
      </c>
    </row>
    <row r="867" spans="1:5" x14ac:dyDescent="0.25">
      <c r="A867" s="2">
        <v>512</v>
      </c>
      <c r="B867" s="2">
        <v>12</v>
      </c>
      <c r="C867" s="8">
        <v>45731</v>
      </c>
      <c r="D867" s="2" t="s">
        <v>12</v>
      </c>
      <c r="E867" s="2" t="s">
        <v>18</v>
      </c>
    </row>
    <row r="868" spans="1:5" x14ac:dyDescent="0.25">
      <c r="A868" s="2">
        <v>1573</v>
      </c>
      <c r="B868" s="2">
        <v>41</v>
      </c>
      <c r="C868" s="8">
        <v>45909</v>
      </c>
      <c r="D868" s="2" t="s">
        <v>12</v>
      </c>
      <c r="E868" s="2" t="s">
        <v>16</v>
      </c>
    </row>
    <row r="869" spans="1:5" x14ac:dyDescent="0.25">
      <c r="A869" s="2">
        <v>682</v>
      </c>
      <c r="B869" s="2">
        <v>17</v>
      </c>
      <c r="C869" s="8">
        <v>45763</v>
      </c>
      <c r="D869" s="2" t="s">
        <v>20</v>
      </c>
      <c r="E869" s="2" t="s">
        <v>18</v>
      </c>
    </row>
    <row r="870" spans="1:5" x14ac:dyDescent="0.25">
      <c r="A870" s="2">
        <v>1918</v>
      </c>
      <c r="B870" s="2">
        <v>49</v>
      </c>
      <c r="C870" s="8">
        <v>45954</v>
      </c>
      <c r="D870" s="2" t="s">
        <v>12</v>
      </c>
      <c r="E870" s="2" t="s">
        <v>14</v>
      </c>
    </row>
    <row r="871" spans="1:5" x14ac:dyDescent="0.25">
      <c r="A871" s="2">
        <v>238</v>
      </c>
      <c r="B871" s="2">
        <v>6</v>
      </c>
      <c r="C871" s="8">
        <v>45705</v>
      </c>
      <c r="D871" s="2" t="s">
        <v>15</v>
      </c>
      <c r="E871" s="2" t="s">
        <v>13</v>
      </c>
    </row>
    <row r="872" spans="1:5" x14ac:dyDescent="0.25">
      <c r="A872" s="2">
        <v>936</v>
      </c>
      <c r="B872" s="2">
        <v>23</v>
      </c>
      <c r="C872" s="8">
        <v>45798</v>
      </c>
      <c r="D872" s="2" t="s">
        <v>19</v>
      </c>
      <c r="E872" s="2" t="s">
        <v>13</v>
      </c>
    </row>
    <row r="873" spans="1:5" x14ac:dyDescent="0.25">
      <c r="A873" s="2">
        <v>751</v>
      </c>
      <c r="B873" s="2">
        <v>18</v>
      </c>
      <c r="C873" s="8">
        <v>45757</v>
      </c>
      <c r="D873" s="2" t="s">
        <v>12</v>
      </c>
      <c r="E873" s="2" t="s">
        <v>14</v>
      </c>
    </row>
    <row r="874" spans="1:5" x14ac:dyDescent="0.25">
      <c r="A874" s="2">
        <v>1908</v>
      </c>
      <c r="B874" s="2">
        <v>48</v>
      </c>
      <c r="C874" s="8">
        <v>45936</v>
      </c>
      <c r="D874" s="2" t="s">
        <v>12</v>
      </c>
      <c r="E874" s="2" t="s">
        <v>18</v>
      </c>
    </row>
    <row r="875" spans="1:5" x14ac:dyDescent="0.25">
      <c r="A875" s="2">
        <v>31</v>
      </c>
      <c r="B875" s="2">
        <v>1</v>
      </c>
      <c r="C875" s="8">
        <v>45671</v>
      </c>
      <c r="D875" s="2" t="s">
        <v>12</v>
      </c>
      <c r="E875" s="2" t="s">
        <v>18</v>
      </c>
    </row>
    <row r="876" spans="1:5" x14ac:dyDescent="0.25">
      <c r="A876" s="2">
        <v>47</v>
      </c>
      <c r="B876" s="2">
        <v>2</v>
      </c>
      <c r="C876" s="8">
        <v>45678</v>
      </c>
      <c r="D876" s="2" t="s">
        <v>15</v>
      </c>
      <c r="E876" s="2" t="s">
        <v>18</v>
      </c>
    </row>
    <row r="877" spans="1:5" x14ac:dyDescent="0.25">
      <c r="A877" s="2">
        <v>903</v>
      </c>
      <c r="B877" s="2">
        <v>22</v>
      </c>
      <c r="C877" s="8">
        <v>45796</v>
      </c>
      <c r="D877" s="2" t="s">
        <v>19</v>
      </c>
      <c r="E877" s="2" t="s">
        <v>13</v>
      </c>
    </row>
    <row r="878" spans="1:5" x14ac:dyDescent="0.25">
      <c r="A878" s="2">
        <v>414</v>
      </c>
      <c r="B878" s="2">
        <v>10</v>
      </c>
      <c r="C878" s="8">
        <v>45698</v>
      </c>
      <c r="D878" s="2" t="s">
        <v>20</v>
      </c>
      <c r="E878" s="2" t="s">
        <v>18</v>
      </c>
    </row>
    <row r="879" spans="1:5" x14ac:dyDescent="0.25">
      <c r="A879" s="2">
        <v>1814</v>
      </c>
      <c r="B879" s="2">
        <v>47</v>
      </c>
      <c r="C879" s="8">
        <v>45945</v>
      </c>
      <c r="D879" s="2" t="s">
        <v>12</v>
      </c>
      <c r="E879" s="2" t="s">
        <v>13</v>
      </c>
    </row>
    <row r="880" spans="1:5" x14ac:dyDescent="0.25">
      <c r="A880" s="2">
        <v>633</v>
      </c>
      <c r="B880" s="2">
        <v>16</v>
      </c>
      <c r="C880" s="8">
        <v>45758</v>
      </c>
      <c r="D880" s="2" t="s">
        <v>15</v>
      </c>
      <c r="E880" s="2" t="s">
        <v>13</v>
      </c>
    </row>
    <row r="881" spans="1:5" x14ac:dyDescent="0.25">
      <c r="A881" s="2">
        <v>599</v>
      </c>
      <c r="B881" s="2">
        <v>14</v>
      </c>
      <c r="C881" s="8">
        <v>45742</v>
      </c>
      <c r="D881" s="2" t="s">
        <v>12</v>
      </c>
      <c r="E881" s="2" t="s">
        <v>14</v>
      </c>
    </row>
    <row r="882" spans="1:5" x14ac:dyDescent="0.25">
      <c r="A882" s="2">
        <v>357</v>
      </c>
      <c r="B882" s="2">
        <v>8</v>
      </c>
      <c r="C882" s="8">
        <v>45708</v>
      </c>
      <c r="D882" s="2" t="s">
        <v>20</v>
      </c>
      <c r="E882" s="2" t="s">
        <v>18</v>
      </c>
    </row>
    <row r="883" spans="1:5" x14ac:dyDescent="0.25">
      <c r="A883" s="2">
        <v>1083</v>
      </c>
      <c r="B883" s="2">
        <v>27</v>
      </c>
      <c r="C883" s="8">
        <v>45815</v>
      </c>
      <c r="D883" s="2" t="s">
        <v>12</v>
      </c>
      <c r="E883" s="2" t="s">
        <v>18</v>
      </c>
    </row>
    <row r="884" spans="1:5" x14ac:dyDescent="0.25">
      <c r="A884" s="2">
        <v>978</v>
      </c>
      <c r="B884" s="2">
        <v>24</v>
      </c>
      <c r="C884" s="8">
        <v>45780</v>
      </c>
      <c r="D884" s="2" t="s">
        <v>20</v>
      </c>
      <c r="E884" s="2" t="s">
        <v>13</v>
      </c>
    </row>
    <row r="885" spans="1:5" x14ac:dyDescent="0.25">
      <c r="A885" s="2">
        <v>332</v>
      </c>
      <c r="B885" s="2">
        <v>8</v>
      </c>
      <c r="C885" s="8">
        <v>45698</v>
      </c>
      <c r="D885" s="2" t="s">
        <v>20</v>
      </c>
      <c r="E885" s="2" t="s">
        <v>18</v>
      </c>
    </row>
    <row r="886" spans="1:5" x14ac:dyDescent="0.25">
      <c r="A886" s="2">
        <v>1026</v>
      </c>
      <c r="B886" s="2">
        <v>26</v>
      </c>
      <c r="C886" s="8">
        <v>45832</v>
      </c>
      <c r="D886" s="2" t="s">
        <v>15</v>
      </c>
      <c r="E886" s="2" t="s">
        <v>16</v>
      </c>
    </row>
    <row r="887" spans="1:5" x14ac:dyDescent="0.25">
      <c r="A887" s="2">
        <v>1867</v>
      </c>
      <c r="B887" s="2">
        <v>48</v>
      </c>
      <c r="C887" s="8">
        <v>45951</v>
      </c>
      <c r="D887" s="2" t="s">
        <v>12</v>
      </c>
      <c r="E887" s="2" t="s">
        <v>13</v>
      </c>
    </row>
    <row r="888" spans="1:5" x14ac:dyDescent="0.25">
      <c r="A888" s="2">
        <v>266</v>
      </c>
      <c r="B888" s="2">
        <v>7</v>
      </c>
      <c r="C888" s="8">
        <v>45689</v>
      </c>
      <c r="D888" s="2" t="s">
        <v>19</v>
      </c>
      <c r="E888" s="2" t="s">
        <v>16</v>
      </c>
    </row>
    <row r="889" spans="1:5" x14ac:dyDescent="0.25">
      <c r="A889" s="2">
        <v>1961</v>
      </c>
      <c r="B889" s="2">
        <v>51</v>
      </c>
      <c r="C889" s="8">
        <v>45978</v>
      </c>
      <c r="D889" s="2" t="s">
        <v>20</v>
      </c>
      <c r="E889" s="2" t="s">
        <v>14</v>
      </c>
    </row>
    <row r="890" spans="1:5" x14ac:dyDescent="0.25">
      <c r="A890" s="2">
        <v>1751</v>
      </c>
      <c r="B890" s="2">
        <v>45</v>
      </c>
      <c r="C890" s="8">
        <v>45911</v>
      </c>
      <c r="D890" s="2" t="s">
        <v>20</v>
      </c>
      <c r="E890" s="2" t="s">
        <v>14</v>
      </c>
    </row>
    <row r="891" spans="1:5" x14ac:dyDescent="0.25">
      <c r="A891" s="2">
        <v>795</v>
      </c>
      <c r="B891" s="2">
        <v>19</v>
      </c>
      <c r="C891" s="8">
        <v>45750</v>
      </c>
      <c r="D891" s="2" t="s">
        <v>20</v>
      </c>
      <c r="E891" s="2" t="s">
        <v>18</v>
      </c>
    </row>
    <row r="892" spans="1:5" x14ac:dyDescent="0.25">
      <c r="A892" s="2">
        <v>1215</v>
      </c>
      <c r="B892" s="2">
        <v>31</v>
      </c>
      <c r="C892" s="8">
        <v>45857</v>
      </c>
      <c r="D892" s="2" t="s">
        <v>15</v>
      </c>
      <c r="E892" s="2" t="s">
        <v>13</v>
      </c>
    </row>
    <row r="893" spans="1:5" x14ac:dyDescent="0.25">
      <c r="A893" s="2">
        <v>1783</v>
      </c>
      <c r="B893" s="2">
        <v>46</v>
      </c>
      <c r="C893" s="8">
        <v>45941</v>
      </c>
      <c r="D893" s="2" t="s">
        <v>20</v>
      </c>
      <c r="E893" s="2" t="s">
        <v>18</v>
      </c>
    </row>
    <row r="894" spans="1:5" x14ac:dyDescent="0.25">
      <c r="A894" s="2">
        <v>1269</v>
      </c>
      <c r="B894" s="2">
        <v>33</v>
      </c>
      <c r="C894" s="8">
        <v>45852</v>
      </c>
      <c r="D894" s="2" t="s">
        <v>12</v>
      </c>
      <c r="E894" s="2" t="s">
        <v>13</v>
      </c>
    </row>
    <row r="895" spans="1:5" x14ac:dyDescent="0.25">
      <c r="A895" s="2">
        <v>185</v>
      </c>
      <c r="B895" s="2">
        <v>4</v>
      </c>
      <c r="C895" s="8">
        <v>45678</v>
      </c>
      <c r="D895" s="2" t="s">
        <v>12</v>
      </c>
      <c r="E895" s="2" t="s">
        <v>13</v>
      </c>
    </row>
    <row r="896" spans="1:5" x14ac:dyDescent="0.25">
      <c r="A896" s="2">
        <v>1287</v>
      </c>
      <c r="B896" s="2">
        <v>33</v>
      </c>
      <c r="C896" s="8">
        <v>45858</v>
      </c>
      <c r="D896" s="2" t="s">
        <v>12</v>
      </c>
      <c r="E896" s="2" t="s">
        <v>13</v>
      </c>
    </row>
    <row r="897" spans="1:5" x14ac:dyDescent="0.25">
      <c r="A897" s="2">
        <v>621</v>
      </c>
      <c r="B897" s="2">
        <v>15</v>
      </c>
      <c r="C897" s="8">
        <v>45726</v>
      </c>
      <c r="D897" s="2" t="s">
        <v>15</v>
      </c>
      <c r="E897" s="2" t="s">
        <v>16</v>
      </c>
    </row>
    <row r="898" spans="1:5" x14ac:dyDescent="0.25">
      <c r="A898" s="2">
        <v>484</v>
      </c>
      <c r="B898" s="2">
        <v>12</v>
      </c>
      <c r="C898" s="8">
        <v>45721</v>
      </c>
      <c r="D898" s="2" t="s">
        <v>20</v>
      </c>
      <c r="E898" s="2" t="s">
        <v>18</v>
      </c>
    </row>
    <row r="899" spans="1:5" x14ac:dyDescent="0.25">
      <c r="A899" s="2">
        <v>1868</v>
      </c>
      <c r="B899" s="2">
        <v>48</v>
      </c>
      <c r="C899" s="8">
        <v>45935</v>
      </c>
      <c r="D899" s="2" t="s">
        <v>12</v>
      </c>
      <c r="E899" s="2" t="s">
        <v>16</v>
      </c>
    </row>
    <row r="900" spans="1:5" x14ac:dyDescent="0.25">
      <c r="A900" s="2">
        <v>953</v>
      </c>
      <c r="B900" s="2">
        <v>23</v>
      </c>
      <c r="C900" s="8">
        <v>45797</v>
      </c>
      <c r="D900" s="2" t="s">
        <v>15</v>
      </c>
      <c r="E900" s="2" t="s">
        <v>13</v>
      </c>
    </row>
    <row r="901" spans="1:5" x14ac:dyDescent="0.25">
      <c r="A901" s="2">
        <v>1677</v>
      </c>
      <c r="B901" s="2">
        <v>43</v>
      </c>
      <c r="C901" s="8">
        <v>45927</v>
      </c>
      <c r="D901" s="2" t="s">
        <v>12</v>
      </c>
      <c r="E901" s="2" t="s">
        <v>16</v>
      </c>
    </row>
    <row r="902" spans="1:5" x14ac:dyDescent="0.25">
      <c r="A902" s="2">
        <v>1574</v>
      </c>
      <c r="B902" s="2">
        <v>41</v>
      </c>
      <c r="C902" s="8">
        <v>45901</v>
      </c>
      <c r="D902" s="2" t="s">
        <v>12</v>
      </c>
      <c r="E902" s="2" t="s">
        <v>13</v>
      </c>
    </row>
    <row r="903" spans="1:5" x14ac:dyDescent="0.25">
      <c r="A903" s="2">
        <v>1513</v>
      </c>
      <c r="B903" s="2">
        <v>38</v>
      </c>
      <c r="C903" s="8">
        <v>45874</v>
      </c>
      <c r="D903" s="2" t="s">
        <v>12</v>
      </c>
      <c r="E903" s="2" t="s">
        <v>16</v>
      </c>
    </row>
    <row r="904" spans="1:5" x14ac:dyDescent="0.25">
      <c r="A904" s="2">
        <v>955</v>
      </c>
      <c r="B904" s="2">
        <v>23</v>
      </c>
      <c r="C904" s="8">
        <v>45796</v>
      </c>
      <c r="D904" s="2" t="s">
        <v>12</v>
      </c>
      <c r="E904" s="2" t="s">
        <v>18</v>
      </c>
    </row>
    <row r="905" spans="1:5" x14ac:dyDescent="0.25">
      <c r="A905" s="2">
        <v>1429</v>
      </c>
      <c r="B905" s="2">
        <v>37</v>
      </c>
      <c r="C905" s="8">
        <v>45887</v>
      </c>
      <c r="D905" s="2" t="s">
        <v>19</v>
      </c>
      <c r="E905" s="2" t="s">
        <v>18</v>
      </c>
    </row>
    <row r="906" spans="1:5" x14ac:dyDescent="0.25">
      <c r="A906" s="2">
        <v>2022</v>
      </c>
      <c r="B906" s="2">
        <v>53</v>
      </c>
      <c r="C906" s="8">
        <v>45970</v>
      </c>
      <c r="D906" s="2" t="s">
        <v>15</v>
      </c>
      <c r="E906" s="2" t="s">
        <v>18</v>
      </c>
    </row>
    <row r="907" spans="1:5" x14ac:dyDescent="0.25">
      <c r="A907" s="2">
        <v>804</v>
      </c>
      <c r="B907" s="2">
        <v>19</v>
      </c>
      <c r="C907" s="8">
        <v>45761</v>
      </c>
      <c r="D907" s="2" t="s">
        <v>12</v>
      </c>
      <c r="E907" s="2" t="s">
        <v>13</v>
      </c>
    </row>
    <row r="908" spans="1:5" x14ac:dyDescent="0.25">
      <c r="A908" s="2">
        <v>1107</v>
      </c>
      <c r="B908" s="2">
        <v>28</v>
      </c>
      <c r="C908" s="8">
        <v>45835</v>
      </c>
      <c r="D908" s="2" t="s">
        <v>15</v>
      </c>
      <c r="E908" s="2" t="s">
        <v>18</v>
      </c>
    </row>
    <row r="909" spans="1:5" x14ac:dyDescent="0.25">
      <c r="A909" s="2">
        <v>144</v>
      </c>
      <c r="B909" s="2">
        <v>3</v>
      </c>
      <c r="C909" s="8">
        <v>45674</v>
      </c>
      <c r="D909" s="2" t="s">
        <v>20</v>
      </c>
      <c r="E909" s="2" t="s">
        <v>14</v>
      </c>
    </row>
    <row r="910" spans="1:5" x14ac:dyDescent="0.25">
      <c r="A910" s="2">
        <v>1464</v>
      </c>
      <c r="B910" s="2">
        <v>38</v>
      </c>
      <c r="C910" s="8">
        <v>45889</v>
      </c>
      <c r="D910" s="2" t="s">
        <v>19</v>
      </c>
      <c r="E910" s="2" t="s">
        <v>18</v>
      </c>
    </row>
    <row r="911" spans="1:5" x14ac:dyDescent="0.25">
      <c r="A911" s="2">
        <v>1404</v>
      </c>
      <c r="B911" s="2">
        <v>36</v>
      </c>
      <c r="C911" s="8">
        <v>45891</v>
      </c>
      <c r="D911" s="2" t="s">
        <v>20</v>
      </c>
      <c r="E911" s="2" t="s">
        <v>18</v>
      </c>
    </row>
    <row r="912" spans="1:5" x14ac:dyDescent="0.25">
      <c r="A912" s="2">
        <v>1566</v>
      </c>
      <c r="B912" s="2">
        <v>41</v>
      </c>
      <c r="C912" s="8">
        <v>45922</v>
      </c>
      <c r="D912" s="2" t="s">
        <v>12</v>
      </c>
      <c r="E912" s="2" t="s">
        <v>13</v>
      </c>
    </row>
    <row r="913" spans="1:5" x14ac:dyDescent="0.25">
      <c r="A913" s="2">
        <v>471</v>
      </c>
      <c r="B913" s="2">
        <v>12</v>
      </c>
      <c r="C913" s="8">
        <v>45738</v>
      </c>
      <c r="D913" s="2" t="s">
        <v>15</v>
      </c>
      <c r="E913" s="2" t="s">
        <v>13</v>
      </c>
    </row>
    <row r="914" spans="1:5" x14ac:dyDescent="0.25">
      <c r="A914" s="2">
        <v>348</v>
      </c>
      <c r="B914" s="2">
        <v>8</v>
      </c>
      <c r="C914" s="8" t="s">
        <v>32</v>
      </c>
      <c r="D914" s="2" t="s">
        <v>20</v>
      </c>
      <c r="E914" s="2" t="s">
        <v>18</v>
      </c>
    </row>
    <row r="915" spans="1:5" x14ac:dyDescent="0.25">
      <c r="A915" s="2">
        <v>577</v>
      </c>
      <c r="B915" s="2">
        <v>13</v>
      </c>
      <c r="C915" s="8">
        <v>45724</v>
      </c>
      <c r="D915" s="2" t="s">
        <v>17</v>
      </c>
      <c r="E915" s="2" t="s">
        <v>16</v>
      </c>
    </row>
    <row r="916" spans="1:5" x14ac:dyDescent="0.25">
      <c r="A916" s="2">
        <v>1192</v>
      </c>
      <c r="B916" s="2">
        <v>30</v>
      </c>
      <c r="C916" s="8">
        <v>45834</v>
      </c>
      <c r="D916" s="2" t="s">
        <v>12</v>
      </c>
      <c r="E916" s="2" t="s">
        <v>14</v>
      </c>
    </row>
    <row r="917" spans="1:5" x14ac:dyDescent="0.25">
      <c r="A917" s="2">
        <v>1407</v>
      </c>
      <c r="B917" s="2">
        <v>36</v>
      </c>
      <c r="C917" s="8">
        <v>45887</v>
      </c>
      <c r="D917" s="2" t="s">
        <v>12</v>
      </c>
      <c r="E917" s="2" t="s">
        <v>18</v>
      </c>
    </row>
    <row r="918" spans="1:5" x14ac:dyDescent="0.25">
      <c r="A918" s="2">
        <v>1902</v>
      </c>
      <c r="B918" s="2">
        <v>48</v>
      </c>
      <c r="C918" s="8">
        <v>45952</v>
      </c>
      <c r="D918" s="2" t="s">
        <v>15</v>
      </c>
      <c r="E918" s="2" t="s">
        <v>18</v>
      </c>
    </row>
    <row r="919" spans="1:5" x14ac:dyDescent="0.25">
      <c r="A919" s="2">
        <v>156</v>
      </c>
      <c r="B919" s="2">
        <v>3</v>
      </c>
      <c r="C919" s="8">
        <v>45663</v>
      </c>
      <c r="D919" s="2" t="s">
        <v>12</v>
      </c>
      <c r="E919" s="2" t="s">
        <v>13</v>
      </c>
    </row>
    <row r="920" spans="1:5" x14ac:dyDescent="0.25">
      <c r="A920" s="2">
        <v>672</v>
      </c>
      <c r="B920" s="2">
        <v>17</v>
      </c>
      <c r="C920" s="8">
        <v>45769</v>
      </c>
      <c r="D920" s="2" t="s">
        <v>12</v>
      </c>
      <c r="E920" s="2" t="s">
        <v>13</v>
      </c>
    </row>
    <row r="921" spans="1:5" x14ac:dyDescent="0.25">
      <c r="A921" s="2">
        <v>179</v>
      </c>
      <c r="B921" s="2">
        <v>3</v>
      </c>
      <c r="C921" s="8">
        <v>45658</v>
      </c>
      <c r="D921" s="2" t="s">
        <v>19</v>
      </c>
      <c r="E921" s="2" t="s">
        <v>16</v>
      </c>
    </row>
    <row r="922" spans="1:5" x14ac:dyDescent="0.25">
      <c r="A922" s="2">
        <v>1662</v>
      </c>
      <c r="B922" s="2">
        <v>43</v>
      </c>
      <c r="C922" s="8">
        <v>45911</v>
      </c>
      <c r="D922" s="2" t="s">
        <v>20</v>
      </c>
      <c r="E922" s="2" t="s">
        <v>16</v>
      </c>
    </row>
    <row r="923" spans="1:5" x14ac:dyDescent="0.25">
      <c r="A923" s="2">
        <v>526</v>
      </c>
      <c r="B923" s="2">
        <v>13</v>
      </c>
      <c r="C923" s="8">
        <v>45721</v>
      </c>
      <c r="D923" s="2" t="s">
        <v>20</v>
      </c>
      <c r="E923" s="2" t="s">
        <v>16</v>
      </c>
    </row>
    <row r="924" spans="1:5" x14ac:dyDescent="0.25">
      <c r="A924" s="2">
        <v>400</v>
      </c>
      <c r="B924" s="2">
        <v>9</v>
      </c>
      <c r="C924" s="8">
        <v>45689</v>
      </c>
      <c r="D924" s="2" t="s">
        <v>20</v>
      </c>
      <c r="E924" s="2" t="s">
        <v>16</v>
      </c>
    </row>
    <row r="925" spans="1:5" x14ac:dyDescent="0.25">
      <c r="A925" s="2">
        <v>538</v>
      </c>
      <c r="B925" s="2">
        <v>13</v>
      </c>
      <c r="C925" s="8">
        <v>45743</v>
      </c>
      <c r="D925" s="2" t="s">
        <v>20</v>
      </c>
      <c r="E925" s="2" t="s">
        <v>18</v>
      </c>
    </row>
    <row r="926" spans="1:5" x14ac:dyDescent="0.25">
      <c r="A926" s="2">
        <v>724</v>
      </c>
      <c r="B926" s="2">
        <v>18</v>
      </c>
      <c r="C926" s="8">
        <v>45750</v>
      </c>
      <c r="D926" s="2" t="s">
        <v>20</v>
      </c>
      <c r="E926" s="2" t="s">
        <v>16</v>
      </c>
    </row>
    <row r="927" spans="1:5" x14ac:dyDescent="0.25">
      <c r="A927" s="2">
        <v>2035</v>
      </c>
      <c r="B927" s="2">
        <v>53</v>
      </c>
      <c r="C927" s="8">
        <v>45970</v>
      </c>
      <c r="D927" s="2" t="s">
        <v>20</v>
      </c>
      <c r="E927" s="2" t="s">
        <v>14</v>
      </c>
    </row>
    <row r="928" spans="1:5" x14ac:dyDescent="0.25">
      <c r="A928" s="2">
        <v>62</v>
      </c>
      <c r="B928" s="2">
        <v>2</v>
      </c>
      <c r="C928" s="8">
        <v>45673</v>
      </c>
      <c r="D928" s="2" t="s">
        <v>20</v>
      </c>
      <c r="E928" s="2" t="s">
        <v>13</v>
      </c>
    </row>
    <row r="929" spans="1:5" x14ac:dyDescent="0.25">
      <c r="A929" s="2">
        <v>1449</v>
      </c>
      <c r="B929" s="2">
        <v>38</v>
      </c>
      <c r="C929" s="8">
        <v>45879</v>
      </c>
      <c r="D929" s="2" t="s">
        <v>19</v>
      </c>
      <c r="E929" s="2" t="s">
        <v>18</v>
      </c>
    </row>
    <row r="930" spans="1:5" x14ac:dyDescent="0.25">
      <c r="A930" s="2">
        <v>516</v>
      </c>
      <c r="B930" s="2">
        <v>13</v>
      </c>
      <c r="C930" s="8">
        <v>45727</v>
      </c>
      <c r="D930" s="2" t="s">
        <v>19</v>
      </c>
      <c r="E930" s="2" t="s">
        <v>13</v>
      </c>
    </row>
    <row r="931" spans="1:5" x14ac:dyDescent="0.25">
      <c r="A931" s="2">
        <v>1795</v>
      </c>
      <c r="B931" s="2">
        <v>46</v>
      </c>
      <c r="C931" s="8">
        <v>45957</v>
      </c>
      <c r="D931" s="2" t="s">
        <v>12</v>
      </c>
      <c r="E931" s="2" t="s">
        <v>18</v>
      </c>
    </row>
    <row r="932" spans="1:5" x14ac:dyDescent="0.25">
      <c r="A932" s="2">
        <v>1251</v>
      </c>
      <c r="B932" s="2">
        <v>32</v>
      </c>
      <c r="C932" s="8">
        <v>45866</v>
      </c>
      <c r="D932" s="2" t="s">
        <v>15</v>
      </c>
      <c r="E932" s="2" t="s">
        <v>16</v>
      </c>
    </row>
    <row r="933" spans="1:5" x14ac:dyDescent="0.25">
      <c r="A933" s="2">
        <v>1105</v>
      </c>
      <c r="B933" s="2">
        <v>28</v>
      </c>
      <c r="C933" s="8">
        <v>45835</v>
      </c>
      <c r="D933" s="2" t="s">
        <v>12</v>
      </c>
      <c r="E933" s="2" t="s">
        <v>18</v>
      </c>
    </row>
    <row r="934" spans="1:5" x14ac:dyDescent="0.25">
      <c r="A934" s="2">
        <v>367</v>
      </c>
      <c r="B934" s="2">
        <v>8</v>
      </c>
      <c r="C934" s="8">
        <v>45711</v>
      </c>
      <c r="D934" s="2" t="s">
        <v>12</v>
      </c>
      <c r="E934" s="2" t="s">
        <v>13</v>
      </c>
    </row>
    <row r="935" spans="1:5" x14ac:dyDescent="0.25">
      <c r="A935" s="2">
        <v>2118</v>
      </c>
      <c r="B935" s="2">
        <v>58</v>
      </c>
      <c r="C935" s="8">
        <v>46004</v>
      </c>
      <c r="D935" s="2" t="s">
        <v>12</v>
      </c>
      <c r="E935" s="2" t="s">
        <v>13</v>
      </c>
    </row>
    <row r="936" spans="1:5" x14ac:dyDescent="0.25">
      <c r="A936" s="2">
        <v>1997</v>
      </c>
      <c r="B936" s="2">
        <v>52</v>
      </c>
      <c r="C936" s="8">
        <v>45965</v>
      </c>
      <c r="D936" s="2" t="s">
        <v>12</v>
      </c>
      <c r="E936" s="2" t="s">
        <v>16</v>
      </c>
    </row>
    <row r="937" spans="1:5" x14ac:dyDescent="0.25">
      <c r="A937" s="2">
        <v>1092</v>
      </c>
      <c r="B937" s="2">
        <v>27</v>
      </c>
      <c r="C937" s="8">
        <v>45820</v>
      </c>
      <c r="D937" s="2" t="s">
        <v>20</v>
      </c>
      <c r="E937" s="2" t="s">
        <v>18</v>
      </c>
    </row>
    <row r="938" spans="1:5" x14ac:dyDescent="0.25">
      <c r="A938" s="2">
        <v>470</v>
      </c>
      <c r="B938" s="2">
        <v>12</v>
      </c>
      <c r="C938" s="8">
        <v>45719</v>
      </c>
      <c r="D938" s="2" t="s">
        <v>20</v>
      </c>
      <c r="E938" s="2" t="s">
        <v>18</v>
      </c>
    </row>
    <row r="939" spans="1:5" x14ac:dyDescent="0.25">
      <c r="A939" s="2">
        <v>2005</v>
      </c>
      <c r="B939" s="2">
        <v>53</v>
      </c>
      <c r="C939" s="8">
        <v>45963</v>
      </c>
      <c r="D939" s="2" t="s">
        <v>15</v>
      </c>
      <c r="E939" s="2" t="s">
        <v>14</v>
      </c>
    </row>
    <row r="940" spans="1:5" x14ac:dyDescent="0.25">
      <c r="A940" s="2">
        <v>1318</v>
      </c>
      <c r="B940" s="2">
        <v>33</v>
      </c>
      <c r="C940" s="8">
        <v>45863</v>
      </c>
      <c r="D940" s="2" t="s">
        <v>15</v>
      </c>
      <c r="E940" s="2" t="s">
        <v>16</v>
      </c>
    </row>
    <row r="941" spans="1:5" x14ac:dyDescent="0.25">
      <c r="A941" s="2">
        <v>480</v>
      </c>
      <c r="B941" s="2">
        <v>12</v>
      </c>
      <c r="C941" s="8">
        <v>45731</v>
      </c>
      <c r="D941" s="2" t="s">
        <v>20</v>
      </c>
      <c r="E941" s="2" t="s">
        <v>16</v>
      </c>
    </row>
    <row r="942" spans="1:5" x14ac:dyDescent="0.25">
      <c r="A942" s="2">
        <v>1259</v>
      </c>
      <c r="B942" s="2">
        <v>32</v>
      </c>
      <c r="C942" s="8">
        <v>45840</v>
      </c>
      <c r="D942" s="2" t="s">
        <v>12</v>
      </c>
      <c r="E942" s="2" t="s">
        <v>14</v>
      </c>
    </row>
    <row r="943" spans="1:5" x14ac:dyDescent="0.25">
      <c r="A943" s="2">
        <v>1248</v>
      </c>
      <c r="B943" s="2">
        <v>32</v>
      </c>
      <c r="C943" s="8">
        <v>45855</v>
      </c>
      <c r="D943" s="2" t="s">
        <v>17</v>
      </c>
      <c r="E943" s="2" t="s">
        <v>18</v>
      </c>
    </row>
    <row r="944" spans="1:5" x14ac:dyDescent="0.25">
      <c r="A944" s="2">
        <v>929</v>
      </c>
      <c r="B944" s="2">
        <v>23</v>
      </c>
      <c r="C944" s="8">
        <v>45780</v>
      </c>
      <c r="D944" s="2" t="s">
        <v>20</v>
      </c>
      <c r="E944" s="2" t="s">
        <v>13</v>
      </c>
    </row>
    <row r="945" spans="1:5" x14ac:dyDescent="0.25">
      <c r="A945" s="2">
        <v>2132</v>
      </c>
      <c r="B945" s="2">
        <v>59</v>
      </c>
      <c r="C945" s="8">
        <v>45998</v>
      </c>
      <c r="D945" s="2" t="s">
        <v>12</v>
      </c>
      <c r="E945" s="2" t="s">
        <v>18</v>
      </c>
    </row>
    <row r="946" spans="1:5" x14ac:dyDescent="0.25">
      <c r="A946" s="2">
        <v>1496</v>
      </c>
      <c r="B946" s="2">
        <v>38</v>
      </c>
      <c r="C946" s="8">
        <v>45887</v>
      </c>
      <c r="D946" s="2" t="s">
        <v>12</v>
      </c>
      <c r="E946" s="2" t="s">
        <v>16</v>
      </c>
    </row>
    <row r="947" spans="1:5" x14ac:dyDescent="0.25">
      <c r="A947" s="2">
        <v>456</v>
      </c>
      <c r="B947" s="2">
        <v>11</v>
      </c>
      <c r="C947" s="8">
        <v>45741</v>
      </c>
      <c r="D947" s="2" t="s">
        <v>19</v>
      </c>
      <c r="E947" s="2" t="s">
        <v>13</v>
      </c>
    </row>
    <row r="948" spans="1:5" x14ac:dyDescent="0.25">
      <c r="A948" s="2">
        <v>635</v>
      </c>
      <c r="B948" s="2">
        <v>16</v>
      </c>
      <c r="C948" s="8">
        <v>45760</v>
      </c>
      <c r="D948" s="2" t="s">
        <v>20</v>
      </c>
      <c r="E948" s="2" t="s">
        <v>18</v>
      </c>
    </row>
    <row r="949" spans="1:5" x14ac:dyDescent="0.25">
      <c r="A949" s="2">
        <v>673</v>
      </c>
      <c r="B949" s="2">
        <v>17</v>
      </c>
      <c r="C949" s="8">
        <v>45749</v>
      </c>
      <c r="D949" s="2" t="s">
        <v>20</v>
      </c>
      <c r="E949" s="2" t="s">
        <v>16</v>
      </c>
    </row>
    <row r="950" spans="1:5" x14ac:dyDescent="0.25">
      <c r="A950" s="2">
        <v>915</v>
      </c>
      <c r="B950" s="2">
        <v>23</v>
      </c>
      <c r="C950" s="8">
        <v>45803</v>
      </c>
      <c r="D950" s="2" t="s">
        <v>12</v>
      </c>
      <c r="E950" s="2" t="s">
        <v>16</v>
      </c>
    </row>
    <row r="951" spans="1:5" x14ac:dyDescent="0.25">
      <c r="A951" s="2">
        <v>667</v>
      </c>
      <c r="B951" s="2">
        <v>17</v>
      </c>
      <c r="C951" s="8">
        <v>45748</v>
      </c>
      <c r="D951" s="2" t="s">
        <v>20</v>
      </c>
      <c r="E951" s="2" t="s">
        <v>16</v>
      </c>
    </row>
    <row r="952" spans="1:5" x14ac:dyDescent="0.25">
      <c r="A952" s="2">
        <v>1108</v>
      </c>
      <c r="B952" s="2">
        <v>28</v>
      </c>
      <c r="C952" s="8" t="s">
        <v>33</v>
      </c>
      <c r="D952" s="2" t="s">
        <v>19</v>
      </c>
      <c r="E952" s="2" t="s">
        <v>13</v>
      </c>
    </row>
    <row r="953" spans="1:5" x14ac:dyDescent="0.25">
      <c r="A953" s="2">
        <v>35</v>
      </c>
      <c r="B953" s="2">
        <v>2</v>
      </c>
      <c r="C953" s="8">
        <v>45670</v>
      </c>
      <c r="D953" s="2" t="s">
        <v>12</v>
      </c>
      <c r="E953" s="2" t="s">
        <v>18</v>
      </c>
    </row>
    <row r="954" spans="1:5" x14ac:dyDescent="0.25">
      <c r="A954" s="2">
        <v>311</v>
      </c>
      <c r="B954" s="2">
        <v>8</v>
      </c>
      <c r="C954" s="8">
        <v>45712</v>
      </c>
      <c r="D954" s="2" t="s">
        <v>15</v>
      </c>
      <c r="E954" s="2" t="s">
        <v>18</v>
      </c>
    </row>
    <row r="955" spans="1:5" x14ac:dyDescent="0.25">
      <c r="A955" s="2">
        <v>595</v>
      </c>
      <c r="B955" s="2">
        <v>14</v>
      </c>
      <c r="C955" s="8">
        <v>45720</v>
      </c>
      <c r="D955" s="2" t="s">
        <v>19</v>
      </c>
      <c r="E955" s="2" t="s">
        <v>18</v>
      </c>
    </row>
    <row r="956" spans="1:5" x14ac:dyDescent="0.25">
      <c r="A956" s="2">
        <v>12</v>
      </c>
      <c r="B956" s="2">
        <v>1</v>
      </c>
      <c r="C956" s="8">
        <v>45666</v>
      </c>
      <c r="D956" s="2" t="s">
        <v>12</v>
      </c>
      <c r="E956" s="2" t="s">
        <v>14</v>
      </c>
    </row>
    <row r="957" spans="1:5" x14ac:dyDescent="0.25">
      <c r="A957" s="2">
        <v>578</v>
      </c>
      <c r="B957" s="2">
        <v>13</v>
      </c>
      <c r="C957" s="8" t="s">
        <v>27</v>
      </c>
      <c r="D957" s="2" t="s">
        <v>15</v>
      </c>
      <c r="E957" s="2" t="s">
        <v>13</v>
      </c>
    </row>
    <row r="958" spans="1:5" x14ac:dyDescent="0.25">
      <c r="A958" s="2">
        <v>1386</v>
      </c>
      <c r="B958" s="2">
        <v>35</v>
      </c>
      <c r="C958" s="8">
        <v>45847</v>
      </c>
      <c r="D958" s="2" t="s">
        <v>12</v>
      </c>
      <c r="E958" s="2" t="s">
        <v>16</v>
      </c>
    </row>
    <row r="959" spans="1:5" x14ac:dyDescent="0.25">
      <c r="A959" s="2">
        <v>2068</v>
      </c>
      <c r="B959" s="2">
        <v>56</v>
      </c>
      <c r="C959" s="8">
        <v>46016</v>
      </c>
      <c r="D959" s="2" t="s">
        <v>20</v>
      </c>
      <c r="E959" s="2" t="s">
        <v>16</v>
      </c>
    </row>
    <row r="960" spans="1:5" x14ac:dyDescent="0.25">
      <c r="A960" s="2">
        <v>1199</v>
      </c>
      <c r="B960" s="2">
        <v>31</v>
      </c>
      <c r="C960" s="8">
        <v>45842</v>
      </c>
      <c r="D960" s="2" t="s">
        <v>12</v>
      </c>
      <c r="E960" s="2" t="s">
        <v>16</v>
      </c>
    </row>
    <row r="961" spans="1:5" x14ac:dyDescent="0.25">
      <c r="A961" s="2">
        <v>29</v>
      </c>
      <c r="B961" s="2">
        <v>1</v>
      </c>
      <c r="C961" s="8">
        <v>45666</v>
      </c>
      <c r="D961" s="2" t="s">
        <v>15</v>
      </c>
      <c r="E961" s="2" t="s">
        <v>13</v>
      </c>
    </row>
    <row r="962" spans="1:5" x14ac:dyDescent="0.25">
      <c r="A962" s="2">
        <v>152</v>
      </c>
      <c r="B962" s="2">
        <v>3</v>
      </c>
      <c r="C962" s="8">
        <v>45661</v>
      </c>
      <c r="D962" s="2" t="s">
        <v>12</v>
      </c>
      <c r="E962" s="2" t="s">
        <v>18</v>
      </c>
    </row>
    <row r="963" spans="1:5" x14ac:dyDescent="0.25">
      <c r="A963" s="2">
        <v>1385</v>
      </c>
      <c r="B963" s="2">
        <v>35</v>
      </c>
      <c r="C963" s="8">
        <v>45863</v>
      </c>
      <c r="D963" s="2" t="s">
        <v>17</v>
      </c>
      <c r="E963" s="2" t="s">
        <v>16</v>
      </c>
    </row>
    <row r="964" spans="1:5" x14ac:dyDescent="0.25">
      <c r="A964" s="2">
        <v>834</v>
      </c>
      <c r="B964" s="2">
        <v>21</v>
      </c>
      <c r="C964" s="8">
        <v>45787</v>
      </c>
      <c r="D964" s="2" t="s">
        <v>15</v>
      </c>
      <c r="E964" s="2" t="s">
        <v>16</v>
      </c>
    </row>
    <row r="965" spans="1:5" x14ac:dyDescent="0.25">
      <c r="A965" s="2">
        <v>427</v>
      </c>
      <c r="B965" s="2">
        <v>10</v>
      </c>
      <c r="C965" s="8">
        <v>45703</v>
      </c>
      <c r="D965" s="2" t="s">
        <v>20</v>
      </c>
      <c r="E965" s="2" t="s">
        <v>13</v>
      </c>
    </row>
    <row r="966" spans="1:5" x14ac:dyDescent="0.25">
      <c r="A966" s="2">
        <v>476</v>
      </c>
      <c r="B966" s="2">
        <v>12</v>
      </c>
      <c r="C966" s="8">
        <v>45739</v>
      </c>
      <c r="D966" s="2" t="s">
        <v>12</v>
      </c>
      <c r="E966" s="2" t="s">
        <v>18</v>
      </c>
    </row>
    <row r="967" spans="1:5" x14ac:dyDescent="0.25">
      <c r="A967" s="2">
        <v>1068</v>
      </c>
      <c r="B967" s="2">
        <v>27</v>
      </c>
      <c r="C967" s="8">
        <v>45817</v>
      </c>
      <c r="D967" s="2" t="s">
        <v>12</v>
      </c>
      <c r="E967" s="2" t="s">
        <v>13</v>
      </c>
    </row>
    <row r="968" spans="1:5" x14ac:dyDescent="0.25">
      <c r="A968" s="2">
        <v>1356</v>
      </c>
      <c r="B968" s="2">
        <v>34</v>
      </c>
      <c r="C968" s="8">
        <v>45848</v>
      </c>
      <c r="D968" s="2" t="s">
        <v>19</v>
      </c>
      <c r="E968" s="2" t="s">
        <v>13</v>
      </c>
    </row>
    <row r="969" spans="1:5" x14ac:dyDescent="0.25">
      <c r="A969" s="2">
        <v>1781</v>
      </c>
      <c r="B969" s="2">
        <v>46</v>
      </c>
      <c r="C969" s="8">
        <v>45954</v>
      </c>
      <c r="D969" s="2" t="s">
        <v>12</v>
      </c>
      <c r="E969" s="2" t="s">
        <v>18</v>
      </c>
    </row>
    <row r="970" spans="1:5" x14ac:dyDescent="0.25">
      <c r="A970" s="2">
        <v>1611</v>
      </c>
      <c r="B970" s="2">
        <v>42</v>
      </c>
      <c r="C970" s="8">
        <v>45916</v>
      </c>
      <c r="D970" s="2" t="s">
        <v>19</v>
      </c>
      <c r="E970" s="2" t="s">
        <v>18</v>
      </c>
    </row>
    <row r="971" spans="1:5" x14ac:dyDescent="0.25">
      <c r="A971" s="2">
        <v>1917</v>
      </c>
      <c r="B971" s="2">
        <v>49</v>
      </c>
      <c r="C971" s="8">
        <v>45934</v>
      </c>
      <c r="D971" s="2" t="s">
        <v>12</v>
      </c>
      <c r="E971" s="2" t="s">
        <v>13</v>
      </c>
    </row>
    <row r="972" spans="1:5" x14ac:dyDescent="0.25">
      <c r="A972" s="2">
        <v>282</v>
      </c>
      <c r="B972" s="2">
        <v>7</v>
      </c>
      <c r="C972" s="8">
        <v>45700</v>
      </c>
      <c r="D972" s="2" t="s">
        <v>15</v>
      </c>
      <c r="E972" s="2" t="s">
        <v>13</v>
      </c>
    </row>
    <row r="973" spans="1:5" x14ac:dyDescent="0.25">
      <c r="A973" s="2">
        <v>980</v>
      </c>
      <c r="B973" s="2">
        <v>24</v>
      </c>
      <c r="C973" s="8">
        <v>45792</v>
      </c>
      <c r="D973" s="2" t="s">
        <v>15</v>
      </c>
      <c r="E973" s="2" t="s">
        <v>18</v>
      </c>
    </row>
    <row r="974" spans="1:5" x14ac:dyDescent="0.25">
      <c r="A974" s="2">
        <v>2027</v>
      </c>
      <c r="B974" s="2">
        <v>53</v>
      </c>
      <c r="C974" s="8">
        <v>45968</v>
      </c>
      <c r="D974" s="2" t="s">
        <v>20</v>
      </c>
      <c r="E974" s="2" t="s">
        <v>14</v>
      </c>
    </row>
    <row r="975" spans="1:5" x14ac:dyDescent="0.25">
      <c r="A975" s="2">
        <v>505</v>
      </c>
      <c r="B975" s="2">
        <v>12</v>
      </c>
      <c r="C975" s="8">
        <v>45735</v>
      </c>
      <c r="D975" s="2" t="s">
        <v>12</v>
      </c>
      <c r="E975" s="2" t="s">
        <v>16</v>
      </c>
    </row>
    <row r="976" spans="1:5" x14ac:dyDescent="0.25">
      <c r="A976" s="2">
        <v>1310</v>
      </c>
      <c r="B976" s="2">
        <v>33</v>
      </c>
      <c r="C976" s="8">
        <v>45845</v>
      </c>
      <c r="D976" s="2" t="s">
        <v>15</v>
      </c>
      <c r="E976" s="2" t="s">
        <v>18</v>
      </c>
    </row>
    <row r="977" spans="1:5" x14ac:dyDescent="0.25">
      <c r="A977" s="2">
        <v>1136</v>
      </c>
      <c r="B977" s="2">
        <v>28</v>
      </c>
      <c r="C977" s="8">
        <v>45818</v>
      </c>
      <c r="D977" s="2" t="s">
        <v>12</v>
      </c>
      <c r="E977" s="2" t="s">
        <v>16</v>
      </c>
    </row>
    <row r="978" spans="1:5" x14ac:dyDescent="0.25">
      <c r="A978" s="2">
        <v>1209</v>
      </c>
      <c r="B978" s="2">
        <v>31</v>
      </c>
      <c r="C978" s="8">
        <v>45860</v>
      </c>
      <c r="D978" s="2" t="s">
        <v>20</v>
      </c>
      <c r="E978" s="2" t="s">
        <v>13</v>
      </c>
    </row>
    <row r="979" spans="1:5" x14ac:dyDescent="0.25">
      <c r="A979" s="2">
        <v>982</v>
      </c>
      <c r="B979" s="2">
        <v>24</v>
      </c>
      <c r="C979" s="8">
        <v>45778</v>
      </c>
      <c r="D979" s="2" t="s">
        <v>20</v>
      </c>
      <c r="E979" s="2" t="s">
        <v>13</v>
      </c>
    </row>
    <row r="980" spans="1:5" x14ac:dyDescent="0.25">
      <c r="A980" s="2">
        <v>1985</v>
      </c>
      <c r="B980" s="2">
        <v>52</v>
      </c>
      <c r="C980" s="8">
        <v>45970</v>
      </c>
      <c r="D980" s="2" t="s">
        <v>12</v>
      </c>
      <c r="E980" s="2" t="s">
        <v>13</v>
      </c>
    </row>
    <row r="981" spans="1:5" x14ac:dyDescent="0.25">
      <c r="A981" s="2">
        <v>492</v>
      </c>
      <c r="B981" s="2">
        <v>12</v>
      </c>
      <c r="C981" s="8">
        <v>45721</v>
      </c>
      <c r="D981" s="2" t="s">
        <v>15</v>
      </c>
      <c r="E981" s="2" t="s">
        <v>16</v>
      </c>
    </row>
    <row r="982" spans="1:5" x14ac:dyDescent="0.25">
      <c r="A982" s="2">
        <v>488</v>
      </c>
      <c r="B982" s="2">
        <v>12</v>
      </c>
      <c r="C982" s="8">
        <v>45730</v>
      </c>
      <c r="D982" s="2" t="s">
        <v>19</v>
      </c>
      <c r="E982" s="2" t="s">
        <v>16</v>
      </c>
    </row>
    <row r="983" spans="1:5" x14ac:dyDescent="0.25">
      <c r="A983" s="2">
        <v>206</v>
      </c>
      <c r="B983" s="2">
        <v>4</v>
      </c>
      <c r="C983" s="8">
        <v>45671</v>
      </c>
      <c r="D983" s="2" t="s">
        <v>12</v>
      </c>
      <c r="E983" s="2" t="s">
        <v>16</v>
      </c>
    </row>
    <row r="984" spans="1:5" x14ac:dyDescent="0.25">
      <c r="A984" s="2">
        <v>1010</v>
      </c>
      <c r="B984" s="2">
        <v>26</v>
      </c>
      <c r="C984" s="8">
        <v>45821</v>
      </c>
      <c r="D984" s="2" t="s">
        <v>20</v>
      </c>
      <c r="E984" s="2" t="s">
        <v>18</v>
      </c>
    </row>
    <row r="985" spans="1:5" x14ac:dyDescent="0.25">
      <c r="A985" s="2">
        <v>717</v>
      </c>
      <c r="B985" s="2">
        <v>18</v>
      </c>
      <c r="C985" s="8">
        <v>45768</v>
      </c>
      <c r="D985" s="2" t="s">
        <v>12</v>
      </c>
      <c r="E985" s="2" t="s">
        <v>13</v>
      </c>
    </row>
    <row r="986" spans="1:5" x14ac:dyDescent="0.25">
      <c r="A986" s="2">
        <v>760</v>
      </c>
      <c r="B986" s="2">
        <v>18</v>
      </c>
      <c r="C986" s="8">
        <v>45751</v>
      </c>
      <c r="D986" s="2" t="s">
        <v>20</v>
      </c>
      <c r="E986" s="2" t="s">
        <v>16</v>
      </c>
    </row>
    <row r="987" spans="1:5" x14ac:dyDescent="0.25">
      <c r="A987" s="2">
        <v>524</v>
      </c>
      <c r="B987" s="2">
        <v>13</v>
      </c>
      <c r="C987" s="8">
        <v>45743</v>
      </c>
      <c r="D987" s="2" t="s">
        <v>12</v>
      </c>
      <c r="E987" s="2" t="s">
        <v>18</v>
      </c>
    </row>
    <row r="988" spans="1:5" x14ac:dyDescent="0.25">
      <c r="A988" s="2">
        <v>2102</v>
      </c>
      <c r="B988" s="2">
        <v>57</v>
      </c>
      <c r="C988" s="8">
        <v>45992</v>
      </c>
      <c r="D988" s="2" t="s">
        <v>15</v>
      </c>
      <c r="E988" s="2" t="s">
        <v>13</v>
      </c>
    </row>
    <row r="989" spans="1:5" x14ac:dyDescent="0.25">
      <c r="A989" s="2">
        <v>247</v>
      </c>
      <c r="B989" s="2">
        <v>6</v>
      </c>
      <c r="C989" s="8">
        <v>45699</v>
      </c>
      <c r="D989" s="2" t="s">
        <v>19</v>
      </c>
      <c r="E989" s="2" t="s">
        <v>13</v>
      </c>
    </row>
    <row r="990" spans="1:5" x14ac:dyDescent="0.25">
      <c r="A990" s="2">
        <v>2110</v>
      </c>
      <c r="B990" s="2">
        <v>58</v>
      </c>
      <c r="C990" s="8">
        <v>46011</v>
      </c>
      <c r="D990" s="2" t="s">
        <v>19</v>
      </c>
      <c r="E990" s="2" t="s">
        <v>18</v>
      </c>
    </row>
    <row r="991" spans="1:5" x14ac:dyDescent="0.25">
      <c r="A991" s="2">
        <v>763</v>
      </c>
      <c r="B991" s="2">
        <v>18</v>
      </c>
      <c r="C991" s="8">
        <v>45756</v>
      </c>
      <c r="D991" s="2" t="s">
        <v>12</v>
      </c>
      <c r="E991" s="2" t="s">
        <v>18</v>
      </c>
    </row>
    <row r="992" spans="1:5" x14ac:dyDescent="0.25">
      <c r="A992" s="2">
        <v>839</v>
      </c>
      <c r="B992" s="2">
        <v>21</v>
      </c>
      <c r="C992" s="8">
        <v>45789</v>
      </c>
      <c r="D992" s="2" t="s">
        <v>12</v>
      </c>
      <c r="E992" s="2" t="s">
        <v>13</v>
      </c>
    </row>
    <row r="993" spans="1:5" x14ac:dyDescent="0.25">
      <c r="A993" s="2">
        <v>146</v>
      </c>
      <c r="B993" s="2">
        <v>3</v>
      </c>
      <c r="C993" s="8">
        <v>45681</v>
      </c>
      <c r="D993" s="2" t="s">
        <v>15</v>
      </c>
      <c r="E993" s="2" t="s">
        <v>13</v>
      </c>
    </row>
    <row r="994" spans="1:5" x14ac:dyDescent="0.25">
      <c r="A994" s="2">
        <v>2024</v>
      </c>
      <c r="B994" s="2">
        <v>53</v>
      </c>
      <c r="C994" s="8">
        <v>45987</v>
      </c>
      <c r="D994" s="2" t="s">
        <v>12</v>
      </c>
      <c r="E994" s="2" t="s">
        <v>18</v>
      </c>
    </row>
    <row r="995" spans="1:5" x14ac:dyDescent="0.25">
      <c r="A995" s="2">
        <v>1544</v>
      </c>
      <c r="B995" s="2">
        <v>39</v>
      </c>
      <c r="C995" s="8">
        <v>45874</v>
      </c>
      <c r="D995" s="2" t="s">
        <v>17</v>
      </c>
      <c r="E995" s="2" t="s">
        <v>13</v>
      </c>
    </row>
    <row r="996" spans="1:5" x14ac:dyDescent="0.25">
      <c r="A996" s="2">
        <v>1920</v>
      </c>
      <c r="B996" s="2">
        <v>49</v>
      </c>
      <c r="C996" s="8">
        <v>45932</v>
      </c>
      <c r="D996" s="2" t="s">
        <v>20</v>
      </c>
      <c r="E996" s="2" t="s">
        <v>16</v>
      </c>
    </row>
    <row r="997" spans="1:5" x14ac:dyDescent="0.25">
      <c r="A997" s="2">
        <v>150</v>
      </c>
      <c r="B997" s="2">
        <v>3</v>
      </c>
      <c r="C997" s="8">
        <v>45659</v>
      </c>
      <c r="D997" s="2" t="s">
        <v>20</v>
      </c>
      <c r="E997" s="2" t="s">
        <v>18</v>
      </c>
    </row>
    <row r="998" spans="1:5" x14ac:dyDescent="0.25">
      <c r="A998" s="2">
        <v>1382</v>
      </c>
      <c r="B998" s="2">
        <v>35</v>
      </c>
      <c r="C998" s="8">
        <v>45862</v>
      </c>
      <c r="D998" s="2" t="s">
        <v>17</v>
      </c>
      <c r="E998" s="2" t="s">
        <v>18</v>
      </c>
    </row>
    <row r="999" spans="1:5" x14ac:dyDescent="0.25">
      <c r="A999" s="2">
        <v>127</v>
      </c>
      <c r="B999" s="2">
        <v>3</v>
      </c>
      <c r="C999" s="8">
        <v>45682</v>
      </c>
      <c r="D999" s="2" t="s">
        <v>20</v>
      </c>
      <c r="E999" s="2" t="s">
        <v>13</v>
      </c>
    </row>
    <row r="1000" spans="1:5" x14ac:dyDescent="0.25">
      <c r="A1000" s="2">
        <v>632</v>
      </c>
      <c r="B1000" s="2">
        <v>16</v>
      </c>
      <c r="C1000" s="8">
        <v>45773</v>
      </c>
      <c r="D1000" s="2" t="s">
        <v>15</v>
      </c>
      <c r="E1000" s="2" t="s">
        <v>13</v>
      </c>
    </row>
    <row r="1001" spans="1:5" x14ac:dyDescent="0.25">
      <c r="A1001" s="2">
        <v>1542</v>
      </c>
      <c r="B1001" s="2">
        <v>39</v>
      </c>
      <c r="C1001" s="8">
        <v>45885</v>
      </c>
      <c r="D1001" s="2" t="s">
        <v>20</v>
      </c>
      <c r="E1001" s="2" t="s">
        <v>13</v>
      </c>
    </row>
    <row r="1002" spans="1:5" x14ac:dyDescent="0.25">
      <c r="A1002" s="2">
        <v>1967</v>
      </c>
      <c r="B1002" s="2">
        <v>51</v>
      </c>
      <c r="C1002" s="8">
        <v>45981</v>
      </c>
      <c r="D1002" s="2" t="s">
        <v>12</v>
      </c>
      <c r="E1002" s="2" t="s">
        <v>16</v>
      </c>
    </row>
    <row r="1003" spans="1:5" x14ac:dyDescent="0.25">
      <c r="A1003" s="2">
        <v>1295</v>
      </c>
      <c r="B1003" s="2">
        <v>33</v>
      </c>
      <c r="C1003" s="8">
        <v>45850</v>
      </c>
      <c r="D1003" s="2" t="s">
        <v>20</v>
      </c>
      <c r="E1003" s="2" t="s">
        <v>16</v>
      </c>
    </row>
    <row r="1004" spans="1:5" x14ac:dyDescent="0.25">
      <c r="A1004" s="2">
        <v>1376</v>
      </c>
      <c r="B1004" s="2">
        <v>34</v>
      </c>
      <c r="C1004" s="8">
        <v>45863</v>
      </c>
      <c r="D1004" s="2" t="s">
        <v>17</v>
      </c>
      <c r="E1004" s="2" t="s">
        <v>16</v>
      </c>
    </row>
    <row r="1005" spans="1:5" x14ac:dyDescent="0.25">
      <c r="A1005" s="2">
        <v>628</v>
      </c>
      <c r="B1005" s="2">
        <v>16</v>
      </c>
      <c r="C1005" s="8">
        <v>45749</v>
      </c>
      <c r="D1005" s="2" t="s">
        <v>15</v>
      </c>
      <c r="E1005" s="2" t="s">
        <v>18</v>
      </c>
    </row>
    <row r="1006" spans="1:5" x14ac:dyDescent="0.25">
      <c r="A1006" s="2">
        <v>842</v>
      </c>
      <c r="B1006" s="2">
        <v>21</v>
      </c>
      <c r="C1006" s="8">
        <v>45784</v>
      </c>
      <c r="D1006" s="2" t="s">
        <v>12</v>
      </c>
      <c r="E1006" s="2" t="s">
        <v>14</v>
      </c>
    </row>
    <row r="1007" spans="1:5" x14ac:dyDescent="0.25">
      <c r="A1007" s="2">
        <v>1364</v>
      </c>
      <c r="B1007" s="2">
        <v>34</v>
      </c>
      <c r="C1007" s="8">
        <v>45845</v>
      </c>
      <c r="D1007" s="2" t="s">
        <v>17</v>
      </c>
      <c r="E1007" s="2" t="s">
        <v>16</v>
      </c>
    </row>
    <row r="1008" spans="1:5" x14ac:dyDescent="0.25">
      <c r="A1008" s="2">
        <v>560</v>
      </c>
      <c r="B1008" s="2">
        <v>13</v>
      </c>
      <c r="C1008" s="8">
        <v>45719</v>
      </c>
      <c r="D1008" s="2" t="s">
        <v>20</v>
      </c>
      <c r="E1008" s="2" t="s">
        <v>18</v>
      </c>
    </row>
    <row r="1009" spans="1:5" x14ac:dyDescent="0.25">
      <c r="A1009" s="2">
        <v>869</v>
      </c>
      <c r="B1009" s="2">
        <v>22</v>
      </c>
      <c r="C1009" s="8">
        <v>45781</v>
      </c>
      <c r="D1009" s="2" t="s">
        <v>12</v>
      </c>
      <c r="E1009" s="2" t="s">
        <v>13</v>
      </c>
    </row>
    <row r="1010" spans="1:5" x14ac:dyDescent="0.25">
      <c r="A1010" s="2">
        <v>1082</v>
      </c>
      <c r="B1010" s="2">
        <v>27</v>
      </c>
      <c r="C1010" s="8">
        <v>45830</v>
      </c>
      <c r="D1010" s="2" t="s">
        <v>20</v>
      </c>
      <c r="E1010" s="2" t="s">
        <v>16</v>
      </c>
    </row>
    <row r="1011" spans="1:5" x14ac:dyDescent="0.25">
      <c r="A1011" s="2">
        <v>1661</v>
      </c>
      <c r="B1011" s="2">
        <v>43</v>
      </c>
      <c r="C1011" s="8">
        <v>45913</v>
      </c>
      <c r="D1011" s="2" t="s">
        <v>12</v>
      </c>
      <c r="E1011" s="2" t="s">
        <v>16</v>
      </c>
    </row>
    <row r="1012" spans="1:5" x14ac:dyDescent="0.25">
      <c r="A1012" s="2">
        <v>1601</v>
      </c>
      <c r="B1012" s="2">
        <v>42</v>
      </c>
      <c r="C1012" s="8">
        <v>45907</v>
      </c>
      <c r="D1012" s="2" t="s">
        <v>15</v>
      </c>
      <c r="E1012" s="2" t="s">
        <v>16</v>
      </c>
    </row>
    <row r="1013" spans="1:5" x14ac:dyDescent="0.25">
      <c r="A1013" s="2">
        <v>1399</v>
      </c>
      <c r="B1013" s="2">
        <v>36</v>
      </c>
      <c r="C1013" s="8">
        <v>45871</v>
      </c>
      <c r="D1013" s="2" t="s">
        <v>20</v>
      </c>
      <c r="E1013" s="2" t="s">
        <v>16</v>
      </c>
    </row>
    <row r="1014" spans="1:5" x14ac:dyDescent="0.25">
      <c r="A1014" s="2">
        <v>1007</v>
      </c>
      <c r="B1014" s="2">
        <v>26</v>
      </c>
      <c r="C1014" s="8">
        <v>45833</v>
      </c>
      <c r="D1014" s="2" t="s">
        <v>20</v>
      </c>
      <c r="E1014" s="2" t="s">
        <v>18</v>
      </c>
    </row>
    <row r="1015" spans="1:5" x14ac:dyDescent="0.25">
      <c r="A1015" s="2">
        <v>1796</v>
      </c>
      <c r="B1015" s="2">
        <v>46</v>
      </c>
      <c r="C1015" s="8">
        <v>45933</v>
      </c>
      <c r="D1015" s="2" t="s">
        <v>20</v>
      </c>
      <c r="E1015" s="2" t="s">
        <v>14</v>
      </c>
    </row>
    <row r="1016" spans="1:5" x14ac:dyDescent="0.25">
      <c r="A1016" s="2">
        <v>415</v>
      </c>
      <c r="B1016" s="2">
        <v>10</v>
      </c>
      <c r="C1016" s="8">
        <v>45712</v>
      </c>
      <c r="D1016" s="2" t="s">
        <v>19</v>
      </c>
      <c r="E1016" s="2" t="s">
        <v>13</v>
      </c>
    </row>
    <row r="1017" spans="1:5" x14ac:dyDescent="0.25">
      <c r="A1017" s="2">
        <v>1159</v>
      </c>
      <c r="B1017" s="2">
        <v>29</v>
      </c>
      <c r="C1017" s="8">
        <v>45817</v>
      </c>
      <c r="D1017" s="2" t="s">
        <v>20</v>
      </c>
      <c r="E1017" s="2" t="s">
        <v>18</v>
      </c>
    </row>
    <row r="1018" spans="1:5" x14ac:dyDescent="0.25">
      <c r="A1018" s="2">
        <v>1613</v>
      </c>
      <c r="B1018" s="2">
        <v>42</v>
      </c>
      <c r="C1018" s="8">
        <v>45927</v>
      </c>
      <c r="D1018" s="2" t="s">
        <v>20</v>
      </c>
      <c r="E1018" s="2" t="s">
        <v>18</v>
      </c>
    </row>
    <row r="1019" spans="1:5" x14ac:dyDescent="0.25">
      <c r="A1019" s="2">
        <v>949</v>
      </c>
      <c r="B1019" s="2">
        <v>23</v>
      </c>
      <c r="C1019" s="8">
        <v>45786</v>
      </c>
      <c r="D1019" s="2" t="s">
        <v>12</v>
      </c>
      <c r="E1019" s="2" t="s">
        <v>13</v>
      </c>
    </row>
    <row r="1020" spans="1:5" x14ac:dyDescent="0.25">
      <c r="A1020" s="2">
        <v>1091</v>
      </c>
      <c r="B1020" s="2">
        <v>27</v>
      </c>
      <c r="C1020" s="8">
        <v>45821</v>
      </c>
      <c r="D1020" s="2" t="s">
        <v>17</v>
      </c>
      <c r="E1020" s="2" t="s">
        <v>18</v>
      </c>
    </row>
    <row r="1021" spans="1:5" x14ac:dyDescent="0.25">
      <c r="A1021" s="2">
        <v>1845</v>
      </c>
      <c r="B1021" s="2">
        <v>48</v>
      </c>
      <c r="C1021" s="8">
        <v>45938</v>
      </c>
      <c r="D1021" s="2" t="s">
        <v>19</v>
      </c>
      <c r="E1021" s="2" t="s">
        <v>13</v>
      </c>
    </row>
    <row r="1022" spans="1:5" x14ac:dyDescent="0.25">
      <c r="A1022" s="2">
        <v>909</v>
      </c>
      <c r="B1022" s="2">
        <v>22</v>
      </c>
      <c r="C1022" s="8">
        <v>45788</v>
      </c>
      <c r="D1022" s="2" t="s">
        <v>12</v>
      </c>
      <c r="E1022" s="2" t="s">
        <v>14</v>
      </c>
    </row>
    <row r="1023" spans="1:5" x14ac:dyDescent="0.25">
      <c r="A1023" s="2">
        <v>51</v>
      </c>
      <c r="B1023" s="2">
        <v>2</v>
      </c>
      <c r="C1023" s="8">
        <v>45684</v>
      </c>
      <c r="D1023" s="2" t="s">
        <v>12</v>
      </c>
      <c r="E1023" s="2" t="s">
        <v>18</v>
      </c>
    </row>
    <row r="1024" spans="1:5" x14ac:dyDescent="0.25">
      <c r="A1024" s="2">
        <v>1241</v>
      </c>
      <c r="B1024" s="2">
        <v>32</v>
      </c>
      <c r="C1024" s="8">
        <v>45843</v>
      </c>
      <c r="D1024" s="2" t="s">
        <v>12</v>
      </c>
      <c r="E1024" s="2" t="s">
        <v>16</v>
      </c>
    </row>
    <row r="1025" spans="1:5" x14ac:dyDescent="0.25">
      <c r="A1025" s="2">
        <v>1869</v>
      </c>
      <c r="B1025" s="2">
        <v>48</v>
      </c>
      <c r="C1025" s="8">
        <v>45957</v>
      </c>
      <c r="D1025" s="2" t="s">
        <v>19</v>
      </c>
      <c r="E1025" s="2" t="s">
        <v>13</v>
      </c>
    </row>
    <row r="1026" spans="1:5" x14ac:dyDescent="0.25">
      <c r="A1026" s="2">
        <v>419</v>
      </c>
      <c r="B1026" s="2">
        <v>10</v>
      </c>
      <c r="C1026" s="8">
        <v>45701</v>
      </c>
      <c r="D1026" s="2" t="s">
        <v>12</v>
      </c>
      <c r="E1026" s="2" t="s">
        <v>16</v>
      </c>
    </row>
    <row r="1027" spans="1:5" x14ac:dyDescent="0.25">
      <c r="A1027" s="2">
        <v>1568</v>
      </c>
      <c r="B1027" s="2">
        <v>41</v>
      </c>
      <c r="C1027" s="8">
        <v>45915</v>
      </c>
      <c r="D1027" s="2" t="s">
        <v>15</v>
      </c>
      <c r="E1027" s="2" t="s">
        <v>16</v>
      </c>
    </row>
    <row r="1028" spans="1:5" x14ac:dyDescent="0.25">
      <c r="A1028" s="2">
        <v>199</v>
      </c>
      <c r="B1028" s="2">
        <v>4</v>
      </c>
      <c r="C1028" s="8">
        <v>45670</v>
      </c>
      <c r="D1028" s="2" t="s">
        <v>17</v>
      </c>
      <c r="E1028" s="2" t="s">
        <v>16</v>
      </c>
    </row>
    <row r="1029" spans="1:5" x14ac:dyDescent="0.25">
      <c r="A1029" s="2">
        <v>248</v>
      </c>
      <c r="B1029" s="2">
        <v>6</v>
      </c>
      <c r="C1029" s="8">
        <v>45703</v>
      </c>
      <c r="D1029" s="2" t="s">
        <v>20</v>
      </c>
      <c r="E1029" s="2" t="s">
        <v>13</v>
      </c>
    </row>
    <row r="1030" spans="1:5" x14ac:dyDescent="0.25">
      <c r="A1030" s="2">
        <v>1746</v>
      </c>
      <c r="B1030" s="2">
        <v>45</v>
      </c>
      <c r="C1030" s="8">
        <v>45925</v>
      </c>
      <c r="D1030" s="2" t="s">
        <v>15</v>
      </c>
      <c r="E1030" s="2" t="s">
        <v>16</v>
      </c>
    </row>
    <row r="1031" spans="1:5" x14ac:dyDescent="0.25">
      <c r="A1031" s="2">
        <v>1</v>
      </c>
      <c r="B1031" s="2">
        <v>1</v>
      </c>
      <c r="C1031" s="8">
        <v>45659</v>
      </c>
      <c r="D1031" s="2" t="s">
        <v>19</v>
      </c>
      <c r="E1031" s="2" t="s">
        <v>14</v>
      </c>
    </row>
    <row r="1032" spans="1:5" x14ac:dyDescent="0.25">
      <c r="A1032" s="2">
        <v>138</v>
      </c>
      <c r="B1032" s="2">
        <v>3</v>
      </c>
      <c r="C1032" s="8">
        <v>45675</v>
      </c>
      <c r="D1032" s="2" t="s">
        <v>20</v>
      </c>
      <c r="E1032" s="2" t="s">
        <v>16</v>
      </c>
    </row>
    <row r="1033" spans="1:5" x14ac:dyDescent="0.25">
      <c r="A1033" s="2">
        <v>1562</v>
      </c>
      <c r="B1033" s="2">
        <v>41</v>
      </c>
      <c r="C1033" s="8">
        <v>45912</v>
      </c>
      <c r="D1033" s="2" t="s">
        <v>12</v>
      </c>
      <c r="E1033" s="2" t="s">
        <v>16</v>
      </c>
    </row>
    <row r="1034" spans="1:5" x14ac:dyDescent="0.25">
      <c r="A1034" s="2">
        <v>412</v>
      </c>
      <c r="B1034" s="2">
        <v>9</v>
      </c>
      <c r="C1034" s="8">
        <v>45695</v>
      </c>
      <c r="D1034" s="2" t="s">
        <v>12</v>
      </c>
      <c r="E1034" s="2" t="s">
        <v>18</v>
      </c>
    </row>
    <row r="1035" spans="1:5" x14ac:dyDescent="0.25">
      <c r="A1035" s="2">
        <v>994</v>
      </c>
      <c r="B1035" s="2">
        <v>25</v>
      </c>
      <c r="C1035" s="8">
        <v>45778</v>
      </c>
      <c r="D1035" s="2" t="s">
        <v>12</v>
      </c>
      <c r="E1035" s="2" t="s">
        <v>16</v>
      </c>
    </row>
    <row r="1036" spans="1:5" x14ac:dyDescent="0.25">
      <c r="A1036" s="2">
        <v>14</v>
      </c>
      <c r="B1036" s="2">
        <v>1</v>
      </c>
      <c r="C1036" s="8">
        <v>45675</v>
      </c>
      <c r="D1036" s="2" t="s">
        <v>19</v>
      </c>
      <c r="E1036" s="2" t="s">
        <v>13</v>
      </c>
    </row>
    <row r="1037" spans="1:5" x14ac:dyDescent="0.25">
      <c r="A1037" s="2">
        <v>2086</v>
      </c>
      <c r="B1037" s="2">
        <v>57</v>
      </c>
      <c r="C1037" s="8">
        <v>45995</v>
      </c>
      <c r="D1037" s="2" t="s">
        <v>15</v>
      </c>
      <c r="E1037" s="2" t="s">
        <v>16</v>
      </c>
    </row>
    <row r="1038" spans="1:5" x14ac:dyDescent="0.25">
      <c r="A1038" s="2">
        <v>1440</v>
      </c>
      <c r="B1038" s="2">
        <v>38</v>
      </c>
      <c r="C1038" s="8">
        <v>45873</v>
      </c>
      <c r="D1038" s="2" t="s">
        <v>12</v>
      </c>
      <c r="E1038" s="2" t="s">
        <v>18</v>
      </c>
    </row>
    <row r="1039" spans="1:5" x14ac:dyDescent="0.25">
      <c r="A1039" s="2">
        <v>317</v>
      </c>
      <c r="B1039" s="2">
        <v>8</v>
      </c>
      <c r="C1039" s="8">
        <v>45695</v>
      </c>
      <c r="D1039" s="2" t="s">
        <v>20</v>
      </c>
      <c r="E1039" s="2" t="s">
        <v>14</v>
      </c>
    </row>
    <row r="1040" spans="1:5" x14ac:dyDescent="0.25">
      <c r="A1040" s="2">
        <v>458</v>
      </c>
      <c r="B1040" s="2">
        <v>11</v>
      </c>
      <c r="C1040" s="8" t="s">
        <v>27</v>
      </c>
      <c r="D1040" s="2" t="s">
        <v>12</v>
      </c>
      <c r="E1040" s="2" t="s">
        <v>14</v>
      </c>
    </row>
    <row r="1041" spans="1:5" x14ac:dyDescent="0.25">
      <c r="A1041" s="2">
        <v>2133</v>
      </c>
      <c r="B1041" s="2">
        <v>60</v>
      </c>
      <c r="C1041" s="8">
        <v>46008</v>
      </c>
      <c r="D1041" s="2" t="s">
        <v>12</v>
      </c>
      <c r="E1041" s="2" t="s">
        <v>16</v>
      </c>
    </row>
    <row r="1042" spans="1:5" x14ac:dyDescent="0.25">
      <c r="A1042" s="2">
        <v>1587</v>
      </c>
      <c r="B1042" s="2">
        <v>42</v>
      </c>
      <c r="C1042" s="8">
        <v>45904</v>
      </c>
      <c r="D1042" s="2" t="s">
        <v>12</v>
      </c>
      <c r="E1042" s="2" t="s">
        <v>18</v>
      </c>
    </row>
    <row r="1043" spans="1:5" x14ac:dyDescent="0.25">
      <c r="A1043" s="2">
        <v>296</v>
      </c>
      <c r="B1043" s="2">
        <v>7</v>
      </c>
      <c r="C1043" s="8">
        <v>45709</v>
      </c>
      <c r="D1043" s="2" t="s">
        <v>12</v>
      </c>
      <c r="E1043" s="2" t="s">
        <v>13</v>
      </c>
    </row>
    <row r="1044" spans="1:5" x14ac:dyDescent="0.25">
      <c r="A1044" s="2">
        <v>420</v>
      </c>
      <c r="B1044" s="2">
        <v>10</v>
      </c>
      <c r="C1044" s="8">
        <v>45706</v>
      </c>
      <c r="D1044" s="2" t="s">
        <v>15</v>
      </c>
      <c r="E1044" s="2" t="s">
        <v>13</v>
      </c>
    </row>
    <row r="1045" spans="1:5" x14ac:dyDescent="0.25">
      <c r="A1045" s="2">
        <v>1143</v>
      </c>
      <c r="B1045" s="2">
        <v>28</v>
      </c>
      <c r="C1045" s="8">
        <v>45815</v>
      </c>
      <c r="D1045" s="2" t="s">
        <v>19</v>
      </c>
      <c r="E1045" s="2" t="s">
        <v>13</v>
      </c>
    </row>
    <row r="1046" spans="1:5" x14ac:dyDescent="0.25">
      <c r="A1046" s="2">
        <v>1047</v>
      </c>
      <c r="B1046" s="2">
        <v>27</v>
      </c>
      <c r="C1046" s="8">
        <v>45835</v>
      </c>
      <c r="D1046" s="2" t="s">
        <v>12</v>
      </c>
      <c r="E1046" s="2" t="s">
        <v>18</v>
      </c>
    </row>
    <row r="1047" spans="1:5" x14ac:dyDescent="0.25">
      <c r="A1047" s="2">
        <v>1458</v>
      </c>
      <c r="B1047" s="2">
        <v>38</v>
      </c>
      <c r="C1047" s="8">
        <v>45873</v>
      </c>
      <c r="D1047" s="2" t="s">
        <v>19</v>
      </c>
      <c r="E1047" s="2" t="s">
        <v>16</v>
      </c>
    </row>
    <row r="1048" spans="1:5" x14ac:dyDescent="0.25">
      <c r="A1048" s="2">
        <v>125</v>
      </c>
      <c r="B1048" s="2">
        <v>3</v>
      </c>
      <c r="C1048" s="8">
        <v>45679</v>
      </c>
      <c r="D1048" s="2" t="s">
        <v>12</v>
      </c>
      <c r="E1048" s="2" t="s">
        <v>18</v>
      </c>
    </row>
    <row r="1049" spans="1:5" x14ac:dyDescent="0.25">
      <c r="A1049" s="2">
        <v>1291</v>
      </c>
      <c r="B1049" s="2">
        <v>33</v>
      </c>
      <c r="C1049" s="8">
        <v>45862</v>
      </c>
      <c r="D1049" s="2" t="s">
        <v>20</v>
      </c>
      <c r="E1049" s="2" t="s">
        <v>18</v>
      </c>
    </row>
    <row r="1050" spans="1:5" x14ac:dyDescent="0.25">
      <c r="A1050" s="2">
        <v>1625</v>
      </c>
      <c r="B1050" s="2">
        <v>42</v>
      </c>
      <c r="C1050" s="8">
        <v>45921</v>
      </c>
      <c r="D1050" s="2" t="s">
        <v>12</v>
      </c>
      <c r="E1050" s="2" t="s">
        <v>13</v>
      </c>
    </row>
    <row r="1051" spans="1:5" x14ac:dyDescent="0.25">
      <c r="A1051" s="2">
        <v>1123</v>
      </c>
      <c r="B1051" s="2">
        <v>28</v>
      </c>
      <c r="C1051" s="8">
        <v>45815</v>
      </c>
      <c r="D1051" s="2" t="s">
        <v>20</v>
      </c>
      <c r="E1051" s="2" t="s">
        <v>16</v>
      </c>
    </row>
    <row r="1052" spans="1:5" x14ac:dyDescent="0.25">
      <c r="A1052" s="2">
        <v>1948</v>
      </c>
      <c r="B1052" s="2">
        <v>51</v>
      </c>
      <c r="C1052" s="8">
        <v>45983</v>
      </c>
      <c r="D1052" s="2" t="s">
        <v>12</v>
      </c>
      <c r="E1052" s="2" t="s">
        <v>13</v>
      </c>
    </row>
    <row r="1053" spans="1:5" x14ac:dyDescent="0.25">
      <c r="A1053" s="2">
        <v>683</v>
      </c>
      <c r="B1053" s="2">
        <v>17</v>
      </c>
      <c r="C1053" s="8">
        <v>45760</v>
      </c>
      <c r="D1053" s="2" t="s">
        <v>15</v>
      </c>
      <c r="E1053" s="2" t="s">
        <v>13</v>
      </c>
    </row>
    <row r="1054" spans="1:5" x14ac:dyDescent="0.25">
      <c r="A1054" s="2">
        <v>1344</v>
      </c>
      <c r="B1054" s="2">
        <v>33</v>
      </c>
      <c r="C1054" s="8">
        <v>45857</v>
      </c>
      <c r="D1054" s="2" t="s">
        <v>12</v>
      </c>
      <c r="E1054" s="2" t="s">
        <v>18</v>
      </c>
    </row>
    <row r="1055" spans="1:5" x14ac:dyDescent="0.25">
      <c r="A1055" s="2">
        <v>554</v>
      </c>
      <c r="B1055" s="2">
        <v>13</v>
      </c>
      <c r="C1055" s="8">
        <v>45734</v>
      </c>
      <c r="D1055" s="2" t="s">
        <v>12</v>
      </c>
      <c r="E1055" s="2" t="s">
        <v>16</v>
      </c>
    </row>
    <row r="1056" spans="1:5" x14ac:dyDescent="0.25">
      <c r="A1056" s="2">
        <v>113</v>
      </c>
      <c r="B1056" s="2">
        <v>3</v>
      </c>
      <c r="C1056" s="8">
        <v>45680</v>
      </c>
      <c r="D1056" s="2" t="s">
        <v>20</v>
      </c>
      <c r="E1056" s="2" t="s">
        <v>16</v>
      </c>
    </row>
    <row r="1057" spans="1:5" x14ac:dyDescent="0.25">
      <c r="A1057" s="2">
        <v>174</v>
      </c>
      <c r="B1057" s="2">
        <v>3</v>
      </c>
      <c r="C1057" s="8">
        <v>45666</v>
      </c>
      <c r="D1057" s="2" t="s">
        <v>20</v>
      </c>
      <c r="E1057" s="2" t="s">
        <v>18</v>
      </c>
    </row>
    <row r="1058" spans="1:5" x14ac:dyDescent="0.25">
      <c r="A1058" s="2">
        <v>112</v>
      </c>
      <c r="B1058" s="2">
        <v>3</v>
      </c>
      <c r="C1058" s="8">
        <v>45666</v>
      </c>
      <c r="D1058" s="2" t="s">
        <v>19</v>
      </c>
      <c r="E1058" s="2" t="s">
        <v>18</v>
      </c>
    </row>
    <row r="1059" spans="1:5" x14ac:dyDescent="0.25">
      <c r="A1059" s="2">
        <v>943</v>
      </c>
      <c r="B1059" s="2">
        <v>23</v>
      </c>
      <c r="C1059" s="8">
        <v>45785</v>
      </c>
      <c r="D1059" s="2" t="s">
        <v>15</v>
      </c>
      <c r="E1059" s="2" t="s">
        <v>18</v>
      </c>
    </row>
    <row r="1060" spans="1:5" x14ac:dyDescent="0.25">
      <c r="A1060" s="2">
        <v>1208</v>
      </c>
      <c r="B1060" s="2">
        <v>31</v>
      </c>
      <c r="C1060" s="8">
        <v>45851</v>
      </c>
      <c r="D1060" s="2" t="s">
        <v>19</v>
      </c>
      <c r="E1060" s="2" t="s">
        <v>13</v>
      </c>
    </row>
    <row r="1061" spans="1:5" x14ac:dyDescent="0.25">
      <c r="A1061" s="2">
        <v>948</v>
      </c>
      <c r="B1061" s="2">
        <v>23</v>
      </c>
      <c r="C1061" s="8">
        <v>45783</v>
      </c>
      <c r="D1061" s="2" t="s">
        <v>20</v>
      </c>
      <c r="E1061" s="2" t="s">
        <v>16</v>
      </c>
    </row>
    <row r="1062" spans="1:5" x14ac:dyDescent="0.25">
      <c r="A1062" s="2">
        <v>13</v>
      </c>
      <c r="B1062" s="2">
        <v>1</v>
      </c>
      <c r="C1062" s="8">
        <v>45671</v>
      </c>
      <c r="D1062" s="2" t="s">
        <v>19</v>
      </c>
      <c r="E1062" s="2" t="s">
        <v>18</v>
      </c>
    </row>
    <row r="1063" spans="1:5" x14ac:dyDescent="0.25">
      <c r="A1063" s="2">
        <v>1779</v>
      </c>
      <c r="B1063" s="2">
        <v>46</v>
      </c>
      <c r="C1063" s="8">
        <v>45955</v>
      </c>
      <c r="D1063" s="2" t="s">
        <v>12</v>
      </c>
      <c r="E1063" s="2" t="s">
        <v>18</v>
      </c>
    </row>
    <row r="1064" spans="1:5" x14ac:dyDescent="0.25">
      <c r="A1064" s="2">
        <v>1953</v>
      </c>
      <c r="B1064" s="2">
        <v>51</v>
      </c>
      <c r="C1064" s="8">
        <v>45975</v>
      </c>
      <c r="D1064" s="2" t="s">
        <v>19</v>
      </c>
      <c r="E1064" s="2" t="s">
        <v>16</v>
      </c>
    </row>
    <row r="1065" spans="1:5" x14ac:dyDescent="0.25">
      <c r="A1065" s="2">
        <v>1280</v>
      </c>
      <c r="B1065" s="2">
        <v>33</v>
      </c>
      <c r="C1065" s="8">
        <v>45859</v>
      </c>
      <c r="D1065" s="2" t="s">
        <v>12</v>
      </c>
      <c r="E1065" s="2" t="s">
        <v>18</v>
      </c>
    </row>
    <row r="1066" spans="1:5" x14ac:dyDescent="0.25">
      <c r="A1066" s="2">
        <v>110</v>
      </c>
      <c r="B1066" s="2">
        <v>3</v>
      </c>
      <c r="C1066" s="8">
        <v>45683</v>
      </c>
      <c r="D1066" s="2" t="s">
        <v>12</v>
      </c>
      <c r="E1066" s="2" t="s">
        <v>18</v>
      </c>
    </row>
    <row r="1067" spans="1:5" x14ac:dyDescent="0.25">
      <c r="A1067" s="2">
        <v>601</v>
      </c>
      <c r="B1067" s="2">
        <v>14</v>
      </c>
      <c r="C1067" s="8">
        <v>45743</v>
      </c>
      <c r="D1067" s="2" t="s">
        <v>20</v>
      </c>
      <c r="E1067" s="2" t="s">
        <v>13</v>
      </c>
    </row>
    <row r="1068" spans="1:5" x14ac:dyDescent="0.25">
      <c r="A1068" s="2">
        <v>261</v>
      </c>
      <c r="B1068" s="2">
        <v>6</v>
      </c>
      <c r="C1068" s="8">
        <v>45693</v>
      </c>
      <c r="D1068" s="2" t="s">
        <v>20</v>
      </c>
      <c r="E1068" s="2" t="s">
        <v>14</v>
      </c>
    </row>
    <row r="1069" spans="1:5" x14ac:dyDescent="0.25">
      <c r="A1069" s="2">
        <v>1899</v>
      </c>
      <c r="B1069" s="2">
        <v>48</v>
      </c>
      <c r="C1069" s="8">
        <v>45956</v>
      </c>
      <c r="D1069" s="2" t="s">
        <v>12</v>
      </c>
      <c r="E1069" s="2" t="s">
        <v>18</v>
      </c>
    </row>
    <row r="1070" spans="1:5" x14ac:dyDescent="0.25">
      <c r="A1070" s="2">
        <v>1787</v>
      </c>
      <c r="B1070" s="2">
        <v>46</v>
      </c>
      <c r="C1070" s="8">
        <v>45952</v>
      </c>
      <c r="D1070" s="2" t="s">
        <v>20</v>
      </c>
      <c r="E1070" s="2" t="s">
        <v>18</v>
      </c>
    </row>
    <row r="1071" spans="1:5" x14ac:dyDescent="0.25">
      <c r="A1071" s="2">
        <v>1393</v>
      </c>
      <c r="B1071" s="2">
        <v>36</v>
      </c>
      <c r="C1071" s="8">
        <v>45877</v>
      </c>
      <c r="D1071" s="2" t="s">
        <v>12</v>
      </c>
      <c r="E1071" s="2" t="s">
        <v>13</v>
      </c>
    </row>
    <row r="1072" spans="1:5" x14ac:dyDescent="0.25">
      <c r="A1072" s="2">
        <v>620</v>
      </c>
      <c r="B1072" s="2">
        <v>15</v>
      </c>
      <c r="C1072" s="8">
        <v>45741</v>
      </c>
      <c r="D1072" s="2" t="s">
        <v>19</v>
      </c>
      <c r="E1072" s="2" t="s">
        <v>16</v>
      </c>
    </row>
    <row r="1073" spans="1:5" x14ac:dyDescent="0.25">
      <c r="A1073" s="2">
        <v>288</v>
      </c>
      <c r="B1073" s="2">
        <v>7</v>
      </c>
      <c r="C1073" s="8">
        <v>45691</v>
      </c>
      <c r="D1073" s="2" t="s">
        <v>15</v>
      </c>
      <c r="E1073" s="2" t="s">
        <v>13</v>
      </c>
    </row>
    <row r="1074" spans="1:5" x14ac:dyDescent="0.25">
      <c r="A1074" s="2">
        <v>182</v>
      </c>
      <c r="B1074" s="2">
        <v>4</v>
      </c>
      <c r="C1074" s="8">
        <v>45671</v>
      </c>
      <c r="D1074" s="2" t="s">
        <v>19</v>
      </c>
      <c r="E1074" s="2" t="s">
        <v>13</v>
      </c>
    </row>
    <row r="1075" spans="1:5" x14ac:dyDescent="0.25">
      <c r="A1075" s="2">
        <v>1507</v>
      </c>
      <c r="B1075" s="2">
        <v>38</v>
      </c>
      <c r="C1075" s="8">
        <v>45892</v>
      </c>
      <c r="D1075" s="2" t="s">
        <v>17</v>
      </c>
      <c r="E1075" s="2" t="s">
        <v>13</v>
      </c>
    </row>
    <row r="1076" spans="1:5" x14ac:dyDescent="0.25">
      <c r="A1076" s="2">
        <v>55</v>
      </c>
      <c r="B1076" s="2">
        <v>2</v>
      </c>
      <c r="C1076" s="8">
        <v>45668</v>
      </c>
      <c r="D1076" s="2" t="s">
        <v>12</v>
      </c>
      <c r="E1076" s="2" t="s">
        <v>16</v>
      </c>
    </row>
    <row r="1077" spans="1:5" x14ac:dyDescent="0.25">
      <c r="A1077" s="2">
        <v>1854</v>
      </c>
      <c r="B1077" s="2">
        <v>48</v>
      </c>
      <c r="C1077" s="8">
        <v>45957</v>
      </c>
      <c r="D1077" s="2" t="s">
        <v>12</v>
      </c>
      <c r="E1077" s="2" t="s">
        <v>14</v>
      </c>
    </row>
    <row r="1078" spans="1:5" x14ac:dyDescent="0.25">
      <c r="A1078" s="2">
        <v>1723</v>
      </c>
      <c r="B1078" s="2">
        <v>44</v>
      </c>
      <c r="C1078" s="8">
        <v>45918</v>
      </c>
      <c r="D1078" s="2" t="s">
        <v>12</v>
      </c>
      <c r="E1078" s="2" t="s">
        <v>13</v>
      </c>
    </row>
    <row r="1079" spans="1:5" x14ac:dyDescent="0.25">
      <c r="A1079" s="2">
        <v>1201</v>
      </c>
      <c r="B1079" s="2">
        <v>31</v>
      </c>
      <c r="C1079" s="8">
        <v>45851</v>
      </c>
      <c r="D1079" s="2" t="s">
        <v>20</v>
      </c>
      <c r="E1079" s="2" t="s">
        <v>16</v>
      </c>
    </row>
    <row r="1080" spans="1:5" x14ac:dyDescent="0.25">
      <c r="A1080" s="2">
        <v>1853</v>
      </c>
      <c r="B1080" s="2">
        <v>48</v>
      </c>
      <c r="C1080" s="8">
        <v>45942</v>
      </c>
      <c r="D1080" s="2" t="s">
        <v>19</v>
      </c>
      <c r="E1080" s="2" t="s">
        <v>16</v>
      </c>
    </row>
    <row r="1081" spans="1:5" x14ac:dyDescent="0.25">
      <c r="A1081" s="2">
        <v>1160</v>
      </c>
      <c r="B1081" s="2">
        <v>29</v>
      </c>
      <c r="C1081" s="8">
        <v>45819</v>
      </c>
      <c r="D1081" s="2" t="s">
        <v>19</v>
      </c>
      <c r="E1081" s="2" t="s">
        <v>18</v>
      </c>
    </row>
    <row r="1082" spans="1:5" x14ac:dyDescent="0.25">
      <c r="A1082" s="2">
        <v>876</v>
      </c>
      <c r="B1082" s="2">
        <v>22</v>
      </c>
      <c r="C1082" s="8">
        <v>45796</v>
      </c>
      <c r="D1082" s="2" t="s">
        <v>12</v>
      </c>
      <c r="E1082" s="2" t="s">
        <v>16</v>
      </c>
    </row>
    <row r="1083" spans="1:5" x14ac:dyDescent="0.25">
      <c r="A1083" s="2">
        <v>1348</v>
      </c>
      <c r="B1083" s="2">
        <v>33</v>
      </c>
      <c r="C1083" s="8">
        <v>45861</v>
      </c>
      <c r="D1083" s="2" t="s">
        <v>12</v>
      </c>
      <c r="E1083" s="2" t="s">
        <v>16</v>
      </c>
    </row>
    <row r="1084" spans="1:5" x14ac:dyDescent="0.25">
      <c r="A1084" s="2">
        <v>960</v>
      </c>
      <c r="B1084" s="2">
        <v>23</v>
      </c>
      <c r="C1084" s="8">
        <v>45788</v>
      </c>
      <c r="D1084" s="2" t="s">
        <v>17</v>
      </c>
      <c r="E1084" s="2" t="s">
        <v>18</v>
      </c>
    </row>
    <row r="1085" spans="1:5" x14ac:dyDescent="0.25">
      <c r="A1085" s="2">
        <v>1557</v>
      </c>
      <c r="B1085" s="2">
        <v>40</v>
      </c>
      <c r="C1085" s="8">
        <v>45875</v>
      </c>
      <c r="D1085" s="2" t="s">
        <v>12</v>
      </c>
      <c r="E1085" s="2" t="s">
        <v>13</v>
      </c>
    </row>
    <row r="1086" spans="1:5" x14ac:dyDescent="0.25">
      <c r="A1086" s="2">
        <v>1032</v>
      </c>
      <c r="B1086" s="2">
        <v>27</v>
      </c>
      <c r="C1086" s="8">
        <v>45828</v>
      </c>
      <c r="D1086" s="2" t="s">
        <v>20</v>
      </c>
      <c r="E1086" s="2" t="s">
        <v>16</v>
      </c>
    </row>
    <row r="1087" spans="1:5" x14ac:dyDescent="0.25">
      <c r="A1087" s="2">
        <v>1371</v>
      </c>
      <c r="B1087" s="2">
        <v>34</v>
      </c>
      <c r="C1087" s="8">
        <v>45857</v>
      </c>
      <c r="D1087" s="2" t="s">
        <v>15</v>
      </c>
      <c r="E1087" s="2" t="s">
        <v>18</v>
      </c>
    </row>
    <row r="1088" spans="1:5" x14ac:dyDescent="0.25">
      <c r="A1088" s="2">
        <v>906</v>
      </c>
      <c r="B1088" s="2">
        <v>22</v>
      </c>
      <c r="C1088" s="8">
        <v>45793</v>
      </c>
      <c r="D1088" s="2" t="s">
        <v>20</v>
      </c>
      <c r="E1088" s="2" t="s">
        <v>18</v>
      </c>
    </row>
    <row r="1089" spans="1:5" x14ac:dyDescent="0.25">
      <c r="A1089" s="2">
        <v>1079</v>
      </c>
      <c r="B1089" s="2">
        <v>27</v>
      </c>
      <c r="C1089" s="8">
        <v>45815</v>
      </c>
      <c r="D1089" s="2" t="s">
        <v>20</v>
      </c>
      <c r="E1089" s="2" t="s">
        <v>18</v>
      </c>
    </row>
    <row r="1090" spans="1:5" x14ac:dyDescent="0.25">
      <c r="A1090" s="2">
        <v>1633</v>
      </c>
      <c r="B1090" s="2">
        <v>42</v>
      </c>
      <c r="C1090" s="8">
        <v>45917</v>
      </c>
      <c r="D1090" s="2" t="s">
        <v>17</v>
      </c>
      <c r="E1090" s="2" t="s">
        <v>13</v>
      </c>
    </row>
    <row r="1091" spans="1:5" x14ac:dyDescent="0.25">
      <c r="A1091" s="2">
        <v>197</v>
      </c>
      <c r="B1091" s="2">
        <v>4</v>
      </c>
      <c r="C1091" s="8">
        <v>45683</v>
      </c>
      <c r="D1091" s="2" t="s">
        <v>12</v>
      </c>
      <c r="E1091" s="2" t="s">
        <v>14</v>
      </c>
    </row>
    <row r="1092" spans="1:5" x14ac:dyDescent="0.25">
      <c r="A1092" s="2">
        <v>2003</v>
      </c>
      <c r="B1092" s="2">
        <v>53</v>
      </c>
      <c r="C1092" s="8">
        <v>45989</v>
      </c>
      <c r="D1092" s="2" t="s">
        <v>19</v>
      </c>
      <c r="E1092" s="2" t="s">
        <v>18</v>
      </c>
    </row>
    <row r="1093" spans="1:5" x14ac:dyDescent="0.25">
      <c r="A1093" s="2">
        <v>770</v>
      </c>
      <c r="B1093" s="2">
        <v>18</v>
      </c>
      <c r="C1093" s="8">
        <v>45769</v>
      </c>
      <c r="D1093" s="2" t="s">
        <v>15</v>
      </c>
      <c r="E1093" s="2" t="s">
        <v>16</v>
      </c>
    </row>
    <row r="1094" spans="1:5" x14ac:dyDescent="0.25">
      <c r="A1094" s="2">
        <v>376</v>
      </c>
      <c r="B1094" s="2">
        <v>8</v>
      </c>
      <c r="C1094" s="8">
        <v>45700</v>
      </c>
      <c r="D1094" s="2" t="s">
        <v>15</v>
      </c>
      <c r="E1094" s="2" t="s">
        <v>16</v>
      </c>
    </row>
    <row r="1095" spans="1:5" x14ac:dyDescent="0.25">
      <c r="A1095" s="2">
        <v>1345</v>
      </c>
      <c r="B1095" s="2">
        <v>33</v>
      </c>
      <c r="C1095" s="8">
        <v>45863</v>
      </c>
      <c r="D1095" s="2" t="s">
        <v>20</v>
      </c>
      <c r="E1095" s="2" t="s">
        <v>13</v>
      </c>
    </row>
    <row r="1096" spans="1:5" x14ac:dyDescent="0.25">
      <c r="A1096" s="2">
        <v>1725</v>
      </c>
      <c r="B1096" s="2">
        <v>44</v>
      </c>
      <c r="C1096" s="8">
        <v>45922</v>
      </c>
      <c r="D1096" s="2" t="s">
        <v>12</v>
      </c>
      <c r="E1096" s="2" t="s">
        <v>18</v>
      </c>
    </row>
    <row r="1097" spans="1:5" x14ac:dyDescent="0.25">
      <c r="A1097" s="2">
        <v>176</v>
      </c>
      <c r="B1097" s="2">
        <v>3</v>
      </c>
      <c r="C1097" s="8">
        <v>45683</v>
      </c>
      <c r="D1097" s="2" t="s">
        <v>15</v>
      </c>
      <c r="E1097" s="2" t="s">
        <v>13</v>
      </c>
    </row>
    <row r="1098" spans="1:5" x14ac:dyDescent="0.25">
      <c r="A1098" s="2">
        <v>625</v>
      </c>
      <c r="B1098" s="2">
        <v>15</v>
      </c>
      <c r="C1098" s="8">
        <v>45738</v>
      </c>
      <c r="D1098" s="2" t="s">
        <v>12</v>
      </c>
      <c r="E1098" s="2" t="s">
        <v>16</v>
      </c>
    </row>
    <row r="1099" spans="1:5" x14ac:dyDescent="0.25">
      <c r="A1099" s="2">
        <v>1383</v>
      </c>
      <c r="B1099" s="2">
        <v>35</v>
      </c>
      <c r="C1099" s="8">
        <v>45841</v>
      </c>
      <c r="D1099" s="2" t="s">
        <v>20</v>
      </c>
      <c r="E1099" s="2" t="s">
        <v>13</v>
      </c>
    </row>
    <row r="1100" spans="1:5" x14ac:dyDescent="0.25">
      <c r="A1100" s="2">
        <v>2048</v>
      </c>
      <c r="B1100" s="2">
        <v>54</v>
      </c>
      <c r="C1100" s="8">
        <v>45987</v>
      </c>
      <c r="D1100" s="2" t="s">
        <v>12</v>
      </c>
      <c r="E1100" s="2" t="s">
        <v>13</v>
      </c>
    </row>
    <row r="1101" spans="1:5" x14ac:dyDescent="0.25">
      <c r="A1101" s="2">
        <v>853</v>
      </c>
      <c r="B1101" s="2">
        <v>21</v>
      </c>
      <c r="C1101" s="8">
        <v>45798</v>
      </c>
      <c r="D1101" s="2" t="s">
        <v>19</v>
      </c>
      <c r="E1101" s="2" t="s">
        <v>18</v>
      </c>
    </row>
    <row r="1102" spans="1:5" x14ac:dyDescent="0.25">
      <c r="A1102" s="2">
        <v>278</v>
      </c>
      <c r="B1102" s="2">
        <v>7</v>
      </c>
      <c r="C1102" s="8">
        <v>45705</v>
      </c>
      <c r="D1102" s="2" t="s">
        <v>20</v>
      </c>
      <c r="E1102" s="2" t="s">
        <v>18</v>
      </c>
    </row>
    <row r="1103" spans="1:5" x14ac:dyDescent="0.25">
      <c r="A1103" s="2">
        <v>1717</v>
      </c>
      <c r="B1103" s="2">
        <v>44</v>
      </c>
      <c r="C1103" s="8">
        <v>45919</v>
      </c>
      <c r="D1103" s="2" t="s">
        <v>15</v>
      </c>
      <c r="E1103" s="2" t="s">
        <v>18</v>
      </c>
    </row>
    <row r="1104" spans="1:5" x14ac:dyDescent="0.25">
      <c r="A1104" s="2">
        <v>1624</v>
      </c>
      <c r="B1104" s="2">
        <v>42</v>
      </c>
      <c r="C1104" s="8">
        <v>45917</v>
      </c>
      <c r="D1104" s="2" t="s">
        <v>17</v>
      </c>
      <c r="E1104" s="2" t="s">
        <v>18</v>
      </c>
    </row>
    <row r="1105" spans="1:5" x14ac:dyDescent="0.25">
      <c r="A1105" s="2">
        <v>286</v>
      </c>
      <c r="B1105" s="2">
        <v>7</v>
      </c>
      <c r="C1105" s="8">
        <v>45702</v>
      </c>
      <c r="D1105" s="2" t="s">
        <v>20</v>
      </c>
      <c r="E1105" s="2" t="s">
        <v>13</v>
      </c>
    </row>
    <row r="1106" spans="1:5" x14ac:dyDescent="0.25">
      <c r="A1106" s="2">
        <v>1560</v>
      </c>
      <c r="B1106" s="2">
        <v>41</v>
      </c>
      <c r="C1106" s="8">
        <v>45916</v>
      </c>
      <c r="D1106" s="2" t="s">
        <v>12</v>
      </c>
      <c r="E1106" s="2" t="s">
        <v>18</v>
      </c>
    </row>
    <row r="1107" spans="1:5" x14ac:dyDescent="0.25">
      <c r="A1107" s="2">
        <v>1446</v>
      </c>
      <c r="B1107" s="2">
        <v>38</v>
      </c>
      <c r="C1107" s="8">
        <v>45894</v>
      </c>
      <c r="D1107" s="2" t="s">
        <v>20</v>
      </c>
      <c r="E1107" s="2" t="s">
        <v>13</v>
      </c>
    </row>
    <row r="1108" spans="1:5" x14ac:dyDescent="0.25">
      <c r="A1108" s="2">
        <v>1609</v>
      </c>
      <c r="B1108" s="2">
        <v>42</v>
      </c>
      <c r="C1108" s="8">
        <v>45920</v>
      </c>
      <c r="D1108" s="2" t="s">
        <v>15</v>
      </c>
      <c r="E1108" s="2" t="s">
        <v>18</v>
      </c>
    </row>
    <row r="1109" spans="1:5" x14ac:dyDescent="0.25">
      <c r="A1109" s="2">
        <v>637</v>
      </c>
      <c r="B1109" s="2">
        <v>16</v>
      </c>
      <c r="C1109" s="8">
        <v>45767</v>
      </c>
      <c r="D1109" s="2" t="s">
        <v>20</v>
      </c>
      <c r="E1109" s="2" t="s">
        <v>18</v>
      </c>
    </row>
    <row r="1110" spans="1:5" x14ac:dyDescent="0.25">
      <c r="A1110" s="2">
        <v>2063</v>
      </c>
      <c r="B1110" s="2">
        <v>55</v>
      </c>
      <c r="C1110" s="8">
        <v>45963</v>
      </c>
      <c r="D1110" s="2" t="s">
        <v>19</v>
      </c>
      <c r="E1110" s="2" t="s">
        <v>18</v>
      </c>
    </row>
    <row r="1111" spans="1:5" x14ac:dyDescent="0.25">
      <c r="A1111" s="2">
        <v>536</v>
      </c>
      <c r="B1111" s="2">
        <v>13</v>
      </c>
      <c r="C1111" s="8">
        <v>45728</v>
      </c>
      <c r="D1111" s="2" t="s">
        <v>12</v>
      </c>
      <c r="E1111" s="2" t="s">
        <v>16</v>
      </c>
    </row>
    <row r="1112" spans="1:5" x14ac:dyDescent="0.25">
      <c r="A1112" s="2">
        <v>1315</v>
      </c>
      <c r="B1112" s="2">
        <v>33</v>
      </c>
      <c r="C1112" s="8">
        <v>45862</v>
      </c>
      <c r="D1112" s="2" t="s">
        <v>20</v>
      </c>
      <c r="E1112" s="2" t="s">
        <v>13</v>
      </c>
    </row>
    <row r="1113" spans="1:5" x14ac:dyDescent="0.25">
      <c r="A1113" s="2">
        <v>2077</v>
      </c>
      <c r="B1113" s="2">
        <v>56</v>
      </c>
      <c r="C1113" s="8">
        <v>46009</v>
      </c>
      <c r="D1113" s="2" t="s">
        <v>20</v>
      </c>
      <c r="E1113" s="2" t="s">
        <v>18</v>
      </c>
    </row>
    <row r="1114" spans="1:5" x14ac:dyDescent="0.25">
      <c r="A1114" s="2">
        <v>2060</v>
      </c>
      <c r="B1114" s="2">
        <v>55</v>
      </c>
      <c r="C1114" s="8">
        <v>45982</v>
      </c>
      <c r="D1114" s="2" t="s">
        <v>12</v>
      </c>
      <c r="E1114" s="2" t="s">
        <v>16</v>
      </c>
    </row>
    <row r="1115" spans="1:5" x14ac:dyDescent="0.25">
      <c r="A1115" s="2">
        <v>792</v>
      </c>
      <c r="B1115" s="2">
        <v>19</v>
      </c>
      <c r="C1115" s="8">
        <v>45763</v>
      </c>
      <c r="D1115" s="2" t="s">
        <v>20</v>
      </c>
      <c r="E1115" s="2" t="s">
        <v>16</v>
      </c>
    </row>
    <row r="1116" spans="1:5" x14ac:dyDescent="0.25">
      <c r="A1116" s="2">
        <v>1297</v>
      </c>
      <c r="B1116" s="2">
        <v>33</v>
      </c>
      <c r="C1116" s="8">
        <v>45851</v>
      </c>
      <c r="D1116" s="2" t="s">
        <v>19</v>
      </c>
      <c r="E1116" s="2" t="s">
        <v>18</v>
      </c>
    </row>
    <row r="1117" spans="1:5" x14ac:dyDescent="0.25">
      <c r="A1117" s="2">
        <v>2002</v>
      </c>
      <c r="B1117" s="2">
        <v>53</v>
      </c>
      <c r="C1117" s="8">
        <v>45975</v>
      </c>
      <c r="D1117" s="2" t="s">
        <v>19</v>
      </c>
      <c r="E1117" s="2" t="s">
        <v>16</v>
      </c>
    </row>
    <row r="1118" spans="1:5" x14ac:dyDescent="0.25">
      <c r="A1118" s="2">
        <v>970</v>
      </c>
      <c r="B1118" s="2">
        <v>24</v>
      </c>
      <c r="C1118" s="8">
        <v>45790</v>
      </c>
      <c r="D1118" s="2" t="s">
        <v>19</v>
      </c>
      <c r="E1118" s="2" t="s">
        <v>13</v>
      </c>
    </row>
    <row r="1119" spans="1:5" x14ac:dyDescent="0.25">
      <c r="A1119" s="2">
        <v>66</v>
      </c>
      <c r="B1119" s="2">
        <v>2</v>
      </c>
      <c r="C1119" s="8">
        <v>45672</v>
      </c>
      <c r="D1119" s="2" t="s">
        <v>20</v>
      </c>
      <c r="E1119" s="2" t="s">
        <v>13</v>
      </c>
    </row>
    <row r="1120" spans="1:5" x14ac:dyDescent="0.25">
      <c r="A1120" s="2">
        <v>1363</v>
      </c>
      <c r="B1120" s="2">
        <v>34</v>
      </c>
      <c r="C1120" s="8">
        <v>45843</v>
      </c>
      <c r="D1120" s="2" t="s">
        <v>19</v>
      </c>
      <c r="E1120" s="2" t="s">
        <v>13</v>
      </c>
    </row>
    <row r="1121" spans="1:5" x14ac:dyDescent="0.25">
      <c r="A1121" s="2">
        <v>1938</v>
      </c>
      <c r="B1121" s="2">
        <v>50</v>
      </c>
      <c r="C1121" s="8">
        <v>45949</v>
      </c>
      <c r="D1121" s="2" t="s">
        <v>12</v>
      </c>
      <c r="E1121" s="2" t="s">
        <v>13</v>
      </c>
    </row>
    <row r="1122" spans="1:5" x14ac:dyDescent="0.25">
      <c r="A1122" s="2">
        <v>166</v>
      </c>
      <c r="B1122" s="2">
        <v>3</v>
      </c>
      <c r="C1122" s="8">
        <v>45659</v>
      </c>
      <c r="D1122" s="2" t="s">
        <v>12</v>
      </c>
      <c r="E1122" s="2" t="s">
        <v>14</v>
      </c>
    </row>
    <row r="1123" spans="1:5" x14ac:dyDescent="0.25">
      <c r="A1123" s="2">
        <v>885</v>
      </c>
      <c r="B1123" s="2">
        <v>22</v>
      </c>
      <c r="C1123" s="8">
        <v>45786</v>
      </c>
      <c r="D1123" s="2" t="s">
        <v>15</v>
      </c>
      <c r="E1123" s="2" t="s">
        <v>16</v>
      </c>
    </row>
    <row r="1124" spans="1:5" x14ac:dyDescent="0.25">
      <c r="A1124" s="2">
        <v>403</v>
      </c>
      <c r="B1124" s="2">
        <v>9</v>
      </c>
      <c r="C1124" s="8">
        <v>45711</v>
      </c>
      <c r="D1124" s="2" t="s">
        <v>15</v>
      </c>
      <c r="E1124" s="2" t="s">
        <v>13</v>
      </c>
    </row>
    <row r="1125" spans="1:5" x14ac:dyDescent="0.25">
      <c r="A1125" s="2">
        <v>293</v>
      </c>
      <c r="B1125" s="2">
        <v>7</v>
      </c>
      <c r="C1125" s="8">
        <v>45705</v>
      </c>
      <c r="D1125" s="2" t="s">
        <v>20</v>
      </c>
      <c r="E1125" s="2" t="s">
        <v>16</v>
      </c>
    </row>
    <row r="1126" spans="1:5" x14ac:dyDescent="0.25">
      <c r="A1126" s="2">
        <v>555</v>
      </c>
      <c r="B1126" s="2">
        <v>13</v>
      </c>
      <c r="C1126" s="8">
        <v>45727</v>
      </c>
      <c r="D1126" s="2" t="s">
        <v>12</v>
      </c>
      <c r="E1126" s="2" t="s">
        <v>18</v>
      </c>
    </row>
    <row r="1127" spans="1:5" x14ac:dyDescent="0.25">
      <c r="A1127" s="2">
        <v>177</v>
      </c>
      <c r="B1127" s="2">
        <v>3</v>
      </c>
      <c r="C1127" s="8">
        <v>45665</v>
      </c>
      <c r="D1127" s="2" t="s">
        <v>12</v>
      </c>
      <c r="E1127" s="2" t="s">
        <v>18</v>
      </c>
    </row>
    <row r="1128" spans="1:5" x14ac:dyDescent="0.25">
      <c r="A1128" s="2">
        <v>318</v>
      </c>
      <c r="B1128" s="2">
        <v>8</v>
      </c>
      <c r="C1128" s="8">
        <v>45704</v>
      </c>
      <c r="D1128" s="2" t="s">
        <v>19</v>
      </c>
      <c r="E1128" s="2" t="s">
        <v>13</v>
      </c>
    </row>
    <row r="1129" spans="1:5" x14ac:dyDescent="0.25">
      <c r="A1129" s="2">
        <v>1323</v>
      </c>
      <c r="B1129" s="2">
        <v>33</v>
      </c>
      <c r="C1129" s="8">
        <v>45862</v>
      </c>
      <c r="D1129" s="2" t="s">
        <v>20</v>
      </c>
      <c r="E1129" s="2" t="s">
        <v>18</v>
      </c>
    </row>
    <row r="1130" spans="1:5" x14ac:dyDescent="0.25">
      <c r="A1130" s="2">
        <v>1533</v>
      </c>
      <c r="B1130" s="2">
        <v>39</v>
      </c>
      <c r="C1130" s="8">
        <v>45875</v>
      </c>
      <c r="D1130" s="2" t="s">
        <v>12</v>
      </c>
      <c r="E1130" s="2" t="s">
        <v>16</v>
      </c>
    </row>
    <row r="1131" spans="1:5" x14ac:dyDescent="0.25">
      <c r="A1131" s="2">
        <v>718</v>
      </c>
      <c r="B1131" s="2">
        <v>18</v>
      </c>
      <c r="C1131" s="8">
        <v>45767</v>
      </c>
      <c r="D1131" s="2" t="s">
        <v>20</v>
      </c>
      <c r="E1131" s="2" t="s">
        <v>18</v>
      </c>
    </row>
    <row r="1132" spans="1:5" x14ac:dyDescent="0.25">
      <c r="A1132" s="2">
        <v>1423</v>
      </c>
      <c r="B1132" s="2">
        <v>37</v>
      </c>
      <c r="C1132" s="8">
        <v>45938</v>
      </c>
      <c r="D1132" s="2" t="s">
        <v>12</v>
      </c>
      <c r="E1132" s="2" t="s">
        <v>13</v>
      </c>
    </row>
    <row r="1133" spans="1:5" x14ac:dyDescent="0.25">
      <c r="A1133" s="2">
        <v>515</v>
      </c>
      <c r="B1133" s="2">
        <v>13</v>
      </c>
      <c r="C1133" s="8">
        <v>45727</v>
      </c>
      <c r="D1133" s="2" t="s">
        <v>19</v>
      </c>
      <c r="E1133" s="2" t="s">
        <v>16</v>
      </c>
    </row>
    <row r="1134" spans="1:5" x14ac:dyDescent="0.25">
      <c r="A1134" s="2">
        <v>1674</v>
      </c>
      <c r="B1134" s="2">
        <v>43</v>
      </c>
      <c r="C1134" s="8">
        <v>45928</v>
      </c>
      <c r="D1134" s="2" t="s">
        <v>20</v>
      </c>
      <c r="E1134" s="2" t="s">
        <v>18</v>
      </c>
    </row>
    <row r="1135" spans="1:5" x14ac:dyDescent="0.25">
      <c r="A1135" s="2">
        <v>2</v>
      </c>
      <c r="B1135" s="2">
        <v>1</v>
      </c>
      <c r="C1135" s="8">
        <v>45665</v>
      </c>
      <c r="D1135" s="2" t="s">
        <v>19</v>
      </c>
      <c r="E1135" s="2" t="s">
        <v>16</v>
      </c>
    </row>
    <row r="1136" spans="1:5" x14ac:dyDescent="0.25">
      <c r="A1136" s="2">
        <v>1647</v>
      </c>
      <c r="B1136" s="2">
        <v>43</v>
      </c>
      <c r="C1136" s="8">
        <v>45928</v>
      </c>
      <c r="D1136" s="2" t="s">
        <v>19</v>
      </c>
      <c r="E1136" s="2" t="s">
        <v>16</v>
      </c>
    </row>
    <row r="1137" spans="1:5" x14ac:dyDescent="0.25">
      <c r="A1137" s="2">
        <v>882</v>
      </c>
      <c r="B1137" s="2">
        <v>22</v>
      </c>
      <c r="C1137" s="8">
        <v>45782</v>
      </c>
      <c r="D1137" s="2" t="s">
        <v>20</v>
      </c>
      <c r="E1137" s="2" t="s">
        <v>18</v>
      </c>
    </row>
    <row r="1138" spans="1:5" x14ac:dyDescent="0.25">
      <c r="A1138" s="2">
        <v>1439</v>
      </c>
      <c r="B1138" s="2">
        <v>38</v>
      </c>
      <c r="C1138" s="8">
        <v>45874</v>
      </c>
      <c r="D1138" s="2" t="s">
        <v>19</v>
      </c>
      <c r="E1138" s="2" t="s">
        <v>18</v>
      </c>
    </row>
    <row r="1139" spans="1:5" x14ac:dyDescent="0.25">
      <c r="A1139" s="2">
        <v>627</v>
      </c>
      <c r="B1139" s="2">
        <v>16</v>
      </c>
      <c r="C1139" s="8">
        <v>45762</v>
      </c>
      <c r="D1139" s="2" t="s">
        <v>12</v>
      </c>
      <c r="E1139" s="2" t="s">
        <v>13</v>
      </c>
    </row>
    <row r="1140" spans="1:5" x14ac:dyDescent="0.25">
      <c r="A1140" s="2">
        <v>1238</v>
      </c>
      <c r="B1140" s="2">
        <v>32</v>
      </c>
      <c r="C1140" s="8">
        <v>45862</v>
      </c>
      <c r="D1140" s="2" t="s">
        <v>19</v>
      </c>
      <c r="E1140" s="2" t="s">
        <v>13</v>
      </c>
    </row>
    <row r="1141" spans="1:5" x14ac:dyDescent="0.25">
      <c r="A1141" s="2">
        <v>1664</v>
      </c>
      <c r="B1141" s="2">
        <v>43</v>
      </c>
      <c r="C1141" s="8">
        <v>45914</v>
      </c>
      <c r="D1141" s="2" t="s">
        <v>17</v>
      </c>
      <c r="E1141" s="2" t="s">
        <v>18</v>
      </c>
    </row>
    <row r="1142" spans="1:5" x14ac:dyDescent="0.25">
      <c r="A1142" s="2">
        <v>253</v>
      </c>
      <c r="B1142" s="2">
        <v>6</v>
      </c>
      <c r="C1142" s="8">
        <v>45690</v>
      </c>
      <c r="D1142" s="2" t="s">
        <v>12</v>
      </c>
      <c r="E1142" s="2" t="s">
        <v>16</v>
      </c>
    </row>
    <row r="1143" spans="1:5" x14ac:dyDescent="0.25">
      <c r="A1143" s="2">
        <v>580</v>
      </c>
      <c r="B1143" s="2">
        <v>13</v>
      </c>
      <c r="C1143" s="8">
        <v>45735</v>
      </c>
      <c r="D1143" s="2" t="s">
        <v>12</v>
      </c>
      <c r="E1143" s="2" t="s">
        <v>16</v>
      </c>
    </row>
    <row r="1144" spans="1:5" x14ac:dyDescent="0.25">
      <c r="A1144" s="2">
        <v>1529</v>
      </c>
      <c r="B1144" s="2">
        <v>39</v>
      </c>
      <c r="C1144" s="8">
        <v>45881</v>
      </c>
      <c r="D1144" s="2" t="s">
        <v>15</v>
      </c>
      <c r="E1144" s="2" t="s">
        <v>14</v>
      </c>
    </row>
    <row r="1145" spans="1:5" x14ac:dyDescent="0.25">
      <c r="A1145" s="2">
        <v>84</v>
      </c>
      <c r="B1145" s="2">
        <v>3</v>
      </c>
      <c r="C1145" s="8">
        <v>45672</v>
      </c>
      <c r="D1145" s="2" t="s">
        <v>12</v>
      </c>
      <c r="E1145" s="2" t="s">
        <v>13</v>
      </c>
    </row>
    <row r="1146" spans="1:5" x14ac:dyDescent="0.25">
      <c r="A1146" s="2">
        <v>1412</v>
      </c>
      <c r="B1146" s="2">
        <v>37</v>
      </c>
      <c r="C1146" s="8">
        <v>45893</v>
      </c>
      <c r="D1146" s="2" t="s">
        <v>20</v>
      </c>
      <c r="E1146" s="2" t="s">
        <v>18</v>
      </c>
    </row>
    <row r="1147" spans="1:5" x14ac:dyDescent="0.25">
      <c r="A1147" s="2">
        <v>1812</v>
      </c>
      <c r="B1147" s="2">
        <v>47</v>
      </c>
      <c r="C1147" s="8">
        <v>45937</v>
      </c>
      <c r="D1147" s="2" t="s">
        <v>20</v>
      </c>
      <c r="E1147" s="2" t="s">
        <v>14</v>
      </c>
    </row>
    <row r="1148" spans="1:5" x14ac:dyDescent="0.25">
      <c r="A1148" s="2">
        <v>604</v>
      </c>
      <c r="B1148" s="2">
        <v>14</v>
      </c>
      <c r="C1148" s="8">
        <v>45744</v>
      </c>
      <c r="D1148" s="2" t="s">
        <v>19</v>
      </c>
      <c r="E1148" s="2" t="s">
        <v>16</v>
      </c>
    </row>
    <row r="1149" spans="1:5" x14ac:dyDescent="0.25">
      <c r="A1149" s="2">
        <v>133</v>
      </c>
      <c r="B1149" s="2">
        <v>3</v>
      </c>
      <c r="C1149" s="8">
        <v>45680</v>
      </c>
      <c r="D1149" s="2" t="s">
        <v>12</v>
      </c>
      <c r="E1149" s="2" t="s">
        <v>16</v>
      </c>
    </row>
    <row r="1150" spans="1:5" x14ac:dyDescent="0.25">
      <c r="A1150" s="2">
        <v>1165</v>
      </c>
      <c r="B1150" s="2">
        <v>29</v>
      </c>
      <c r="C1150" s="8">
        <v>45832</v>
      </c>
      <c r="D1150" s="2" t="s">
        <v>12</v>
      </c>
      <c r="E1150" s="2" t="s">
        <v>13</v>
      </c>
    </row>
    <row r="1151" spans="1:5" x14ac:dyDescent="0.25">
      <c r="A1151" s="2">
        <v>998</v>
      </c>
      <c r="B1151" s="2">
        <v>26</v>
      </c>
      <c r="C1151" s="8">
        <v>45816</v>
      </c>
      <c r="D1151" s="2" t="s">
        <v>12</v>
      </c>
      <c r="E1151" s="2" t="s">
        <v>13</v>
      </c>
    </row>
    <row r="1152" spans="1:5" x14ac:dyDescent="0.25">
      <c r="A1152" s="2">
        <v>622</v>
      </c>
      <c r="B1152" s="2">
        <v>15</v>
      </c>
      <c r="C1152" s="8">
        <v>45742</v>
      </c>
      <c r="D1152" s="2" t="s">
        <v>12</v>
      </c>
      <c r="E1152" s="2" t="s">
        <v>18</v>
      </c>
    </row>
    <row r="1153" spans="1:5" x14ac:dyDescent="0.25">
      <c r="A1153" s="2">
        <v>1895</v>
      </c>
      <c r="B1153" s="2">
        <v>48</v>
      </c>
      <c r="C1153" s="8">
        <v>45953</v>
      </c>
      <c r="D1153" s="2" t="s">
        <v>20</v>
      </c>
      <c r="E1153" s="2" t="s">
        <v>18</v>
      </c>
    </row>
    <row r="1154" spans="1:5" x14ac:dyDescent="0.25">
      <c r="A1154" s="2">
        <v>1887</v>
      </c>
      <c r="B1154" s="2">
        <v>48</v>
      </c>
      <c r="C1154" s="8">
        <v>45698</v>
      </c>
      <c r="D1154" s="2" t="s">
        <v>12</v>
      </c>
      <c r="E1154" s="2" t="s">
        <v>13</v>
      </c>
    </row>
    <row r="1155" spans="1:5" x14ac:dyDescent="0.25">
      <c r="A1155" s="2">
        <v>1855</v>
      </c>
      <c r="B1155" s="2">
        <v>48</v>
      </c>
      <c r="C1155" s="8">
        <v>45944</v>
      </c>
      <c r="D1155" s="2" t="s">
        <v>12</v>
      </c>
      <c r="E1155" s="2" t="s">
        <v>18</v>
      </c>
    </row>
    <row r="1156" spans="1:5" x14ac:dyDescent="0.25">
      <c r="A1156" s="2">
        <v>1907</v>
      </c>
      <c r="B1156" s="2">
        <v>48</v>
      </c>
      <c r="C1156" s="8">
        <v>45934</v>
      </c>
      <c r="D1156" s="2" t="s">
        <v>12</v>
      </c>
      <c r="E1156" s="2" t="s">
        <v>16</v>
      </c>
    </row>
    <row r="1157" spans="1:5" x14ac:dyDescent="0.25">
      <c r="A1157" s="2">
        <v>308</v>
      </c>
      <c r="B1157" s="2">
        <v>7</v>
      </c>
      <c r="C1157" s="8">
        <v>45700</v>
      </c>
      <c r="D1157" s="2" t="s">
        <v>12</v>
      </c>
      <c r="E1157" s="2" t="s">
        <v>16</v>
      </c>
    </row>
    <row r="1158" spans="1:5" x14ac:dyDescent="0.25">
      <c r="A1158" s="2">
        <v>956</v>
      </c>
      <c r="B1158" s="2">
        <v>23</v>
      </c>
      <c r="C1158" s="8">
        <v>45794</v>
      </c>
      <c r="D1158" s="2" t="s">
        <v>20</v>
      </c>
      <c r="E1158" s="2" t="s">
        <v>16</v>
      </c>
    </row>
    <row r="1159" spans="1:5" x14ac:dyDescent="0.25">
      <c r="A1159" s="2">
        <v>1553</v>
      </c>
      <c r="B1159" s="2">
        <v>40</v>
      </c>
      <c r="C1159" s="8">
        <v>45870</v>
      </c>
      <c r="D1159" s="2" t="s">
        <v>19</v>
      </c>
      <c r="E1159" s="2" t="s">
        <v>16</v>
      </c>
    </row>
    <row r="1160" spans="1:5" x14ac:dyDescent="0.25">
      <c r="A1160" s="2">
        <v>1510</v>
      </c>
      <c r="B1160" s="2">
        <v>38</v>
      </c>
      <c r="C1160" s="8">
        <v>45875</v>
      </c>
      <c r="D1160" s="2" t="s">
        <v>12</v>
      </c>
      <c r="E1160" s="2" t="s">
        <v>13</v>
      </c>
    </row>
    <row r="1161" spans="1:5" x14ac:dyDescent="0.25">
      <c r="A1161" s="2">
        <v>18</v>
      </c>
      <c r="B1161" s="2">
        <v>1</v>
      </c>
      <c r="C1161" s="8">
        <v>45682</v>
      </c>
      <c r="D1161" s="2" t="s">
        <v>15</v>
      </c>
      <c r="E1161" s="2" t="s">
        <v>16</v>
      </c>
    </row>
    <row r="1162" spans="1:5" x14ac:dyDescent="0.25">
      <c r="A1162" s="2">
        <v>1881</v>
      </c>
      <c r="B1162" s="2">
        <v>48</v>
      </c>
      <c r="C1162" s="8">
        <v>45956</v>
      </c>
      <c r="D1162" s="2" t="s">
        <v>20</v>
      </c>
      <c r="E1162" s="2" t="s">
        <v>18</v>
      </c>
    </row>
    <row r="1163" spans="1:5" x14ac:dyDescent="0.25">
      <c r="A1163" s="2">
        <v>591</v>
      </c>
      <c r="B1163" s="2">
        <v>13</v>
      </c>
      <c r="C1163" s="8">
        <v>45738</v>
      </c>
      <c r="D1163" s="2" t="s">
        <v>12</v>
      </c>
      <c r="E1163" s="2" t="s">
        <v>18</v>
      </c>
    </row>
    <row r="1164" spans="1:5" x14ac:dyDescent="0.25">
      <c r="A1164" s="2">
        <v>1659</v>
      </c>
      <c r="B1164" s="2">
        <v>43</v>
      </c>
      <c r="C1164" s="8" t="s">
        <v>34</v>
      </c>
      <c r="D1164" s="2" t="s">
        <v>19</v>
      </c>
      <c r="E1164" s="2" t="s">
        <v>14</v>
      </c>
    </row>
    <row r="1165" spans="1:5" x14ac:dyDescent="0.25">
      <c r="A1165" s="2">
        <v>1161</v>
      </c>
      <c r="B1165" s="2">
        <v>29</v>
      </c>
      <c r="C1165" s="8">
        <v>45835</v>
      </c>
      <c r="D1165" s="2" t="s">
        <v>20</v>
      </c>
      <c r="E1165" s="2" t="s">
        <v>13</v>
      </c>
    </row>
    <row r="1166" spans="1:5" x14ac:dyDescent="0.25">
      <c r="A1166" s="2">
        <v>1849</v>
      </c>
      <c r="B1166" s="2">
        <v>48</v>
      </c>
      <c r="C1166" s="8">
        <v>45938</v>
      </c>
      <c r="D1166" s="2" t="s">
        <v>20</v>
      </c>
      <c r="E1166" s="2" t="s">
        <v>16</v>
      </c>
    </row>
    <row r="1167" spans="1:5" x14ac:dyDescent="0.25">
      <c r="A1167" s="2">
        <v>2049</v>
      </c>
      <c r="B1167" s="2">
        <v>54</v>
      </c>
      <c r="C1167" s="8">
        <v>45966</v>
      </c>
      <c r="D1167" s="2" t="s">
        <v>15</v>
      </c>
      <c r="E1167" s="2" t="s">
        <v>16</v>
      </c>
    </row>
    <row r="1168" spans="1:5" x14ac:dyDescent="0.25">
      <c r="A1168" s="2">
        <v>1700</v>
      </c>
      <c r="B1168" s="2">
        <v>43</v>
      </c>
      <c r="C1168" s="8">
        <v>45920</v>
      </c>
      <c r="D1168" s="2" t="s">
        <v>20</v>
      </c>
      <c r="E1168" s="2" t="s">
        <v>13</v>
      </c>
    </row>
    <row r="1169" spans="1:5" x14ac:dyDescent="0.25">
      <c r="A1169" s="2">
        <v>704</v>
      </c>
      <c r="B1169" s="2">
        <v>18</v>
      </c>
      <c r="C1169" s="8">
        <v>45756</v>
      </c>
      <c r="D1169" s="2" t="s">
        <v>19</v>
      </c>
      <c r="E1169" s="2" t="s">
        <v>18</v>
      </c>
    </row>
    <row r="1170" spans="1:5" x14ac:dyDescent="0.25">
      <c r="A1170" s="2">
        <v>1066</v>
      </c>
      <c r="B1170" s="2">
        <v>27</v>
      </c>
      <c r="C1170" s="8">
        <v>45822</v>
      </c>
      <c r="D1170" s="2" t="s">
        <v>20</v>
      </c>
      <c r="E1170" s="2" t="s">
        <v>16</v>
      </c>
    </row>
    <row r="1171" spans="1:5" x14ac:dyDescent="0.25">
      <c r="A1171" s="2">
        <v>85</v>
      </c>
      <c r="B1171" s="2">
        <v>3</v>
      </c>
      <c r="C1171" s="8">
        <v>45670</v>
      </c>
      <c r="D1171" s="2" t="s">
        <v>12</v>
      </c>
      <c r="E1171" s="2" t="s">
        <v>16</v>
      </c>
    </row>
    <row r="1172" spans="1:5" x14ac:dyDescent="0.25">
      <c r="A1172" s="2">
        <v>391</v>
      </c>
      <c r="B1172" s="2">
        <v>9</v>
      </c>
      <c r="C1172" s="8">
        <v>45707</v>
      </c>
      <c r="D1172" s="2" t="s">
        <v>15</v>
      </c>
      <c r="E1172" s="2" t="s">
        <v>18</v>
      </c>
    </row>
    <row r="1173" spans="1:5" x14ac:dyDescent="0.25">
      <c r="A1173" s="2">
        <v>2098</v>
      </c>
      <c r="B1173" s="2">
        <v>57</v>
      </c>
      <c r="C1173" s="8">
        <v>45999</v>
      </c>
      <c r="D1173" s="2" t="s">
        <v>12</v>
      </c>
      <c r="E1173" s="2" t="s">
        <v>16</v>
      </c>
    </row>
    <row r="1174" spans="1:5" x14ac:dyDescent="0.25">
      <c r="A1174" s="2">
        <v>1414</v>
      </c>
      <c r="B1174" s="2">
        <v>37</v>
      </c>
      <c r="C1174" s="8">
        <v>45872</v>
      </c>
      <c r="D1174" s="2" t="s">
        <v>12</v>
      </c>
      <c r="E1174" s="2" t="s">
        <v>16</v>
      </c>
    </row>
    <row r="1175" spans="1:5" x14ac:dyDescent="0.25">
      <c r="A1175" s="2">
        <v>855</v>
      </c>
      <c r="B1175" s="2">
        <v>21</v>
      </c>
      <c r="C1175" s="8">
        <v>45796</v>
      </c>
      <c r="D1175" s="2" t="s">
        <v>15</v>
      </c>
      <c r="E1175" s="2" t="s">
        <v>18</v>
      </c>
    </row>
    <row r="1176" spans="1:5" x14ac:dyDescent="0.25">
      <c r="A1176" s="2">
        <v>1689</v>
      </c>
      <c r="B1176" s="2">
        <v>43</v>
      </c>
      <c r="C1176" s="8">
        <v>45901</v>
      </c>
      <c r="D1176" s="2" t="s">
        <v>20</v>
      </c>
      <c r="E1176" s="2" t="s">
        <v>18</v>
      </c>
    </row>
    <row r="1177" spans="1:5" x14ac:dyDescent="0.25">
      <c r="A1177" s="2">
        <v>679</v>
      </c>
      <c r="B1177" s="2">
        <v>17</v>
      </c>
      <c r="C1177" s="8">
        <v>45757</v>
      </c>
      <c r="D1177" s="2" t="s">
        <v>19</v>
      </c>
      <c r="E1177" s="2" t="s">
        <v>13</v>
      </c>
    </row>
    <row r="1178" spans="1:5" x14ac:dyDescent="0.25">
      <c r="A1178" s="2">
        <v>715</v>
      </c>
      <c r="B1178" s="2">
        <v>18</v>
      </c>
      <c r="C1178" s="8">
        <v>45757</v>
      </c>
      <c r="D1178" s="2" t="s">
        <v>19</v>
      </c>
      <c r="E1178" s="2" t="s">
        <v>13</v>
      </c>
    </row>
    <row r="1179" spans="1:5" x14ac:dyDescent="0.25">
      <c r="A1179" s="2">
        <v>1332</v>
      </c>
      <c r="B1179" s="2">
        <v>33</v>
      </c>
      <c r="C1179" s="8">
        <v>45862</v>
      </c>
      <c r="D1179" s="2" t="s">
        <v>15</v>
      </c>
      <c r="E1179" s="2" t="s">
        <v>16</v>
      </c>
    </row>
    <row r="1180" spans="1:5" x14ac:dyDescent="0.25">
      <c r="A1180" s="2">
        <v>359</v>
      </c>
      <c r="B1180" s="2">
        <v>8</v>
      </c>
      <c r="C1180" s="8">
        <v>45704</v>
      </c>
      <c r="D1180" s="2" t="s">
        <v>20</v>
      </c>
      <c r="E1180" s="2" t="s">
        <v>18</v>
      </c>
    </row>
    <row r="1181" spans="1:5" x14ac:dyDescent="0.25">
      <c r="A1181" s="2">
        <v>1530</v>
      </c>
      <c r="B1181" s="2">
        <v>39</v>
      </c>
      <c r="C1181" s="8" t="s">
        <v>35</v>
      </c>
      <c r="D1181" s="2" t="s">
        <v>12</v>
      </c>
      <c r="E1181" s="2" t="s">
        <v>18</v>
      </c>
    </row>
    <row r="1182" spans="1:5" x14ac:dyDescent="0.25">
      <c r="A1182" s="2">
        <v>1576</v>
      </c>
      <c r="B1182" s="2">
        <v>41</v>
      </c>
      <c r="C1182" s="8">
        <v>45926</v>
      </c>
      <c r="D1182" s="2" t="s">
        <v>15</v>
      </c>
      <c r="E1182" s="2" t="s">
        <v>16</v>
      </c>
    </row>
    <row r="1183" spans="1:5" x14ac:dyDescent="0.25">
      <c r="A1183" s="2">
        <v>1864</v>
      </c>
      <c r="B1183" s="2">
        <v>48</v>
      </c>
      <c r="C1183" s="8">
        <v>45942</v>
      </c>
      <c r="D1183" s="2" t="s">
        <v>12</v>
      </c>
      <c r="E1183" s="2" t="s">
        <v>16</v>
      </c>
    </row>
    <row r="1184" spans="1:5" x14ac:dyDescent="0.25">
      <c r="A1184" s="2">
        <v>1840</v>
      </c>
      <c r="B1184" s="2">
        <v>48</v>
      </c>
      <c r="C1184" s="8">
        <v>45947</v>
      </c>
      <c r="D1184" s="2" t="s">
        <v>15</v>
      </c>
      <c r="E1184" s="2" t="s">
        <v>16</v>
      </c>
    </row>
    <row r="1185" spans="1:5" x14ac:dyDescent="0.25">
      <c r="A1185" s="2">
        <v>2052</v>
      </c>
      <c r="B1185" s="2">
        <v>54</v>
      </c>
      <c r="C1185" s="8">
        <v>45986</v>
      </c>
      <c r="D1185" s="2" t="s">
        <v>12</v>
      </c>
      <c r="E1185" s="2" t="s">
        <v>16</v>
      </c>
    </row>
    <row r="1186" spans="1:5" x14ac:dyDescent="0.25">
      <c r="A1186" s="2">
        <v>1937</v>
      </c>
      <c r="B1186" s="2">
        <v>50</v>
      </c>
      <c r="C1186" s="8">
        <v>45958</v>
      </c>
      <c r="D1186" s="2" t="s">
        <v>20</v>
      </c>
      <c r="E1186" s="2" t="s">
        <v>14</v>
      </c>
    </row>
    <row r="1187" spans="1:5" x14ac:dyDescent="0.25">
      <c r="A1187" s="2">
        <v>1724</v>
      </c>
      <c r="B1187" s="2">
        <v>44</v>
      </c>
      <c r="C1187" s="8">
        <v>45920</v>
      </c>
      <c r="D1187" s="2" t="s">
        <v>20</v>
      </c>
      <c r="E1187" s="2" t="s">
        <v>18</v>
      </c>
    </row>
    <row r="1188" spans="1:5" x14ac:dyDescent="0.25">
      <c r="A1188" s="2">
        <v>183</v>
      </c>
      <c r="B1188" s="2">
        <v>4</v>
      </c>
      <c r="C1188" s="8">
        <v>45669</v>
      </c>
      <c r="D1188" s="2" t="s">
        <v>12</v>
      </c>
      <c r="E1188" s="2" t="s">
        <v>18</v>
      </c>
    </row>
    <row r="1189" spans="1:5" x14ac:dyDescent="0.25">
      <c r="A1189" s="2">
        <v>423</v>
      </c>
      <c r="B1189" s="2">
        <v>10</v>
      </c>
      <c r="C1189" s="8">
        <v>45715</v>
      </c>
      <c r="D1189" s="2" t="s">
        <v>12</v>
      </c>
      <c r="E1189" s="2" t="s">
        <v>13</v>
      </c>
    </row>
    <row r="1190" spans="1:5" x14ac:dyDescent="0.25">
      <c r="A1190" s="2">
        <v>737</v>
      </c>
      <c r="B1190" s="2">
        <v>18</v>
      </c>
      <c r="C1190" s="8">
        <v>45751</v>
      </c>
      <c r="D1190" s="2" t="s">
        <v>15</v>
      </c>
      <c r="E1190" s="2" t="s">
        <v>16</v>
      </c>
    </row>
    <row r="1191" spans="1:5" x14ac:dyDescent="0.25">
      <c r="A1191" s="2">
        <v>1906</v>
      </c>
      <c r="B1191" s="2">
        <v>48</v>
      </c>
      <c r="C1191" s="8">
        <v>45948</v>
      </c>
      <c r="D1191" s="2" t="s">
        <v>12</v>
      </c>
      <c r="E1191" s="2" t="s">
        <v>14</v>
      </c>
    </row>
    <row r="1192" spans="1:5" x14ac:dyDescent="0.25">
      <c r="A1192" s="2">
        <v>1823</v>
      </c>
      <c r="B1192" s="2">
        <v>47</v>
      </c>
      <c r="C1192" s="8">
        <v>45936</v>
      </c>
      <c r="D1192" s="2" t="s">
        <v>19</v>
      </c>
      <c r="E1192" s="2" t="s">
        <v>13</v>
      </c>
    </row>
    <row r="1193" spans="1:5" x14ac:dyDescent="0.25">
      <c r="A1193" s="2">
        <v>501</v>
      </c>
      <c r="B1193" s="2">
        <v>12</v>
      </c>
      <c r="C1193" s="8">
        <v>45740</v>
      </c>
      <c r="D1193" s="2" t="s">
        <v>12</v>
      </c>
      <c r="E1193" s="2" t="s">
        <v>16</v>
      </c>
    </row>
    <row r="1194" spans="1:5" x14ac:dyDescent="0.25">
      <c r="A1194" s="2">
        <v>64</v>
      </c>
      <c r="B1194" s="2">
        <v>2</v>
      </c>
      <c r="C1194" s="8">
        <v>45677</v>
      </c>
      <c r="D1194" s="2" t="s">
        <v>15</v>
      </c>
      <c r="E1194" s="2" t="s">
        <v>16</v>
      </c>
    </row>
    <row r="1195" spans="1:5" x14ac:dyDescent="0.25">
      <c r="A1195" s="2">
        <v>1020</v>
      </c>
      <c r="B1195" s="2">
        <v>26</v>
      </c>
      <c r="C1195" s="8">
        <v>45831</v>
      </c>
      <c r="D1195" s="2" t="s">
        <v>17</v>
      </c>
      <c r="E1195" s="2" t="s">
        <v>16</v>
      </c>
    </row>
    <row r="1196" spans="1:5" x14ac:dyDescent="0.25">
      <c r="A1196" s="2">
        <v>732</v>
      </c>
      <c r="B1196" s="2">
        <v>18</v>
      </c>
      <c r="C1196" s="8">
        <v>45775</v>
      </c>
      <c r="D1196" s="2" t="s">
        <v>12</v>
      </c>
      <c r="E1196" s="2" t="s">
        <v>13</v>
      </c>
    </row>
    <row r="1197" spans="1:5" x14ac:dyDescent="0.25">
      <c r="A1197" s="2">
        <v>1254</v>
      </c>
      <c r="B1197" s="2">
        <v>32</v>
      </c>
      <c r="C1197" s="8">
        <v>45862</v>
      </c>
      <c r="D1197" s="2" t="s">
        <v>12</v>
      </c>
      <c r="E1197" s="2" t="s">
        <v>18</v>
      </c>
    </row>
    <row r="1198" spans="1:5" x14ac:dyDescent="0.25">
      <c r="A1198" s="2">
        <v>452</v>
      </c>
      <c r="B1198" s="2">
        <v>11</v>
      </c>
      <c r="C1198" s="8">
        <v>45737</v>
      </c>
      <c r="D1198" s="2" t="s">
        <v>12</v>
      </c>
      <c r="E1198" s="2" t="s">
        <v>18</v>
      </c>
    </row>
    <row r="1199" spans="1:5" x14ac:dyDescent="0.25">
      <c r="A1199" s="2">
        <v>1970</v>
      </c>
      <c r="B1199" s="2">
        <v>51</v>
      </c>
      <c r="C1199" s="8">
        <v>45968</v>
      </c>
      <c r="D1199" s="2" t="s">
        <v>12</v>
      </c>
      <c r="E1199" s="2" t="s">
        <v>13</v>
      </c>
    </row>
    <row r="1200" spans="1:5" x14ac:dyDescent="0.25">
      <c r="A1200" s="2">
        <v>1969</v>
      </c>
      <c r="B1200" s="2">
        <v>51</v>
      </c>
      <c r="C1200" s="8">
        <v>45970</v>
      </c>
      <c r="D1200" s="2" t="s">
        <v>15</v>
      </c>
      <c r="E1200" s="2" t="s">
        <v>18</v>
      </c>
    </row>
    <row r="1201" spans="1:5" x14ac:dyDescent="0.25">
      <c r="A1201" s="2">
        <v>1249</v>
      </c>
      <c r="B1201" s="2">
        <v>32</v>
      </c>
      <c r="C1201" s="8">
        <v>45853</v>
      </c>
      <c r="D1201" s="2" t="s">
        <v>20</v>
      </c>
      <c r="E1201" s="2" t="s">
        <v>16</v>
      </c>
    </row>
    <row r="1202" spans="1:5" x14ac:dyDescent="0.25">
      <c r="A1202" s="2">
        <v>1064</v>
      </c>
      <c r="B1202" s="2">
        <v>27</v>
      </c>
      <c r="C1202" s="8">
        <v>45813</v>
      </c>
      <c r="D1202" s="2" t="s">
        <v>12</v>
      </c>
      <c r="E1202" s="2" t="s">
        <v>13</v>
      </c>
    </row>
    <row r="1203" spans="1:5" x14ac:dyDescent="0.25">
      <c r="A1203" s="2">
        <v>1425</v>
      </c>
      <c r="B1203" s="2">
        <v>37</v>
      </c>
      <c r="C1203" s="8">
        <v>45892</v>
      </c>
      <c r="D1203" s="2" t="s">
        <v>12</v>
      </c>
      <c r="E1203" s="2" t="s">
        <v>16</v>
      </c>
    </row>
    <row r="1204" spans="1:5" x14ac:dyDescent="0.25">
      <c r="A1204" s="2">
        <v>231</v>
      </c>
      <c r="B1204" s="2">
        <v>6</v>
      </c>
      <c r="C1204" s="8">
        <v>45696</v>
      </c>
      <c r="D1204" s="2" t="s">
        <v>12</v>
      </c>
      <c r="E1204" s="2" t="s">
        <v>16</v>
      </c>
    </row>
    <row r="1205" spans="1:5" x14ac:dyDescent="0.25">
      <c r="A1205" s="2">
        <v>1658</v>
      </c>
      <c r="B1205" s="2">
        <v>43</v>
      </c>
      <c r="C1205" s="8">
        <v>45847</v>
      </c>
      <c r="D1205" s="2" t="s">
        <v>12</v>
      </c>
      <c r="E1205" s="2" t="s">
        <v>18</v>
      </c>
    </row>
    <row r="1206" spans="1:5" x14ac:dyDescent="0.25">
      <c r="A1206" s="2">
        <v>2115</v>
      </c>
      <c r="B1206" s="2">
        <v>58</v>
      </c>
      <c r="C1206" s="8">
        <v>46008</v>
      </c>
      <c r="D1206" s="2" t="s">
        <v>20</v>
      </c>
      <c r="E1206" s="2" t="s">
        <v>16</v>
      </c>
    </row>
    <row r="1207" spans="1:5" x14ac:dyDescent="0.25">
      <c r="A1207" s="2">
        <v>1791</v>
      </c>
      <c r="B1207" s="2">
        <v>46</v>
      </c>
      <c r="C1207" s="8">
        <v>45949</v>
      </c>
      <c r="D1207" s="2" t="s">
        <v>15</v>
      </c>
      <c r="E1207" s="2" t="s">
        <v>18</v>
      </c>
    </row>
    <row r="1208" spans="1:5" x14ac:dyDescent="0.25">
      <c r="A1208" s="2">
        <v>1475</v>
      </c>
      <c r="B1208" s="2">
        <v>38</v>
      </c>
      <c r="C1208" s="8">
        <v>45876</v>
      </c>
      <c r="D1208" s="2" t="s">
        <v>20</v>
      </c>
      <c r="E1208" s="2" t="s">
        <v>18</v>
      </c>
    </row>
    <row r="1209" spans="1:5" x14ac:dyDescent="0.25">
      <c r="A1209" s="2">
        <v>1395</v>
      </c>
      <c r="B1209" s="2">
        <v>36</v>
      </c>
      <c r="C1209" s="8">
        <v>45883</v>
      </c>
      <c r="D1209" s="2" t="s">
        <v>12</v>
      </c>
      <c r="E1209" s="2" t="s">
        <v>18</v>
      </c>
    </row>
    <row r="1210" spans="1:5" x14ac:dyDescent="0.25">
      <c r="A1210" s="2">
        <v>28</v>
      </c>
      <c r="B1210" s="2">
        <v>1</v>
      </c>
      <c r="C1210" s="8">
        <v>45684</v>
      </c>
      <c r="D1210" s="2" t="s">
        <v>15</v>
      </c>
      <c r="E1210" s="2" t="s">
        <v>16</v>
      </c>
    </row>
    <row r="1211" spans="1:5" x14ac:dyDescent="0.25">
      <c r="A1211" s="2">
        <v>1901</v>
      </c>
      <c r="B1211" s="2">
        <v>48</v>
      </c>
      <c r="C1211" s="8">
        <v>45944</v>
      </c>
      <c r="D1211" s="2" t="s">
        <v>15</v>
      </c>
      <c r="E1211" s="2" t="s">
        <v>14</v>
      </c>
    </row>
    <row r="1212" spans="1:5" x14ac:dyDescent="0.25">
      <c r="A1212" s="2">
        <v>747</v>
      </c>
      <c r="B1212" s="2">
        <v>18</v>
      </c>
      <c r="C1212" s="8">
        <v>45748</v>
      </c>
      <c r="D1212" s="2" t="s">
        <v>12</v>
      </c>
      <c r="E1212" s="2" t="s">
        <v>18</v>
      </c>
    </row>
    <row r="1213" spans="1:5" x14ac:dyDescent="0.25">
      <c r="A1213" s="2">
        <v>520</v>
      </c>
      <c r="B1213" s="2">
        <v>13</v>
      </c>
      <c r="C1213" s="8">
        <v>45744</v>
      </c>
      <c r="D1213" s="2" t="s">
        <v>20</v>
      </c>
      <c r="E1213" s="2" t="s">
        <v>16</v>
      </c>
    </row>
    <row r="1214" spans="1:5" x14ac:dyDescent="0.25">
      <c r="A1214" s="2">
        <v>1682</v>
      </c>
      <c r="B1214" s="2">
        <v>43</v>
      </c>
      <c r="C1214" s="8">
        <v>45903</v>
      </c>
      <c r="D1214" s="2" t="s">
        <v>17</v>
      </c>
      <c r="E1214" s="2" t="s">
        <v>16</v>
      </c>
    </row>
    <row r="1215" spans="1:5" x14ac:dyDescent="0.25">
      <c r="A1215" s="2">
        <v>528</v>
      </c>
      <c r="B1215" s="2">
        <v>13</v>
      </c>
      <c r="C1215" s="8">
        <v>45734</v>
      </c>
      <c r="D1215" s="2" t="s">
        <v>20</v>
      </c>
      <c r="E1215" s="2" t="s">
        <v>13</v>
      </c>
    </row>
    <row r="1216" spans="1:5" x14ac:dyDescent="0.25">
      <c r="A1216" s="2">
        <v>1118</v>
      </c>
      <c r="B1216" s="2">
        <v>28</v>
      </c>
      <c r="C1216" s="8">
        <v>45828</v>
      </c>
      <c r="D1216" s="2" t="s">
        <v>12</v>
      </c>
      <c r="E1216" s="2" t="s">
        <v>14</v>
      </c>
    </row>
    <row r="1217" spans="1:5" x14ac:dyDescent="0.25">
      <c r="A1217" s="2">
        <v>1841</v>
      </c>
      <c r="B1217" s="2">
        <v>48</v>
      </c>
      <c r="C1217" s="8">
        <v>45950</v>
      </c>
      <c r="D1217" s="2" t="s">
        <v>19</v>
      </c>
      <c r="E1217" s="2" t="s">
        <v>18</v>
      </c>
    </row>
    <row r="1218" spans="1:5" x14ac:dyDescent="0.25">
      <c r="A1218" s="2">
        <v>1005</v>
      </c>
      <c r="B1218" s="2">
        <v>26</v>
      </c>
      <c r="C1218" s="8">
        <v>45819</v>
      </c>
      <c r="D1218" s="2" t="s">
        <v>12</v>
      </c>
      <c r="E1218" s="2" t="s">
        <v>13</v>
      </c>
    </row>
    <row r="1219" spans="1:5" x14ac:dyDescent="0.25">
      <c r="A1219" s="2">
        <v>1360</v>
      </c>
      <c r="B1219" s="2">
        <v>34</v>
      </c>
      <c r="C1219" s="8">
        <v>45840</v>
      </c>
      <c r="D1219" s="2" t="s">
        <v>20</v>
      </c>
      <c r="E1219" s="2" t="s">
        <v>13</v>
      </c>
    </row>
    <row r="1220" spans="1:5" x14ac:dyDescent="0.25">
      <c r="A1220" s="2">
        <v>2084</v>
      </c>
      <c r="B1220" s="2">
        <v>57</v>
      </c>
      <c r="C1220" s="8">
        <v>46001</v>
      </c>
      <c r="D1220" s="2" t="s">
        <v>15</v>
      </c>
      <c r="E1220" s="2" t="s">
        <v>13</v>
      </c>
    </row>
    <row r="1221" spans="1:5" x14ac:dyDescent="0.25">
      <c r="A1221" s="2">
        <v>1432</v>
      </c>
      <c r="B1221" s="2">
        <v>37</v>
      </c>
      <c r="C1221" s="8">
        <v>45891</v>
      </c>
      <c r="D1221" s="2" t="s">
        <v>19</v>
      </c>
      <c r="E1221" s="2" t="s">
        <v>16</v>
      </c>
    </row>
    <row r="1222" spans="1:5" x14ac:dyDescent="0.25">
      <c r="A1222" s="2">
        <v>193</v>
      </c>
      <c r="B1222" s="2">
        <v>4</v>
      </c>
      <c r="C1222" s="8">
        <v>45662</v>
      </c>
      <c r="D1222" s="2" t="s">
        <v>12</v>
      </c>
      <c r="E1222" s="2" t="s">
        <v>14</v>
      </c>
    </row>
    <row r="1223" spans="1:5" x14ac:dyDescent="0.25">
      <c r="A1223" s="2">
        <v>301</v>
      </c>
      <c r="B1223" s="2">
        <v>7</v>
      </c>
      <c r="C1223" s="8">
        <v>45715</v>
      </c>
      <c r="D1223" s="2" t="s">
        <v>20</v>
      </c>
      <c r="E1223" s="2" t="s">
        <v>16</v>
      </c>
    </row>
    <row r="1224" spans="1:5" x14ac:dyDescent="0.25">
      <c r="A1224" s="2">
        <v>1575</v>
      </c>
      <c r="B1224" s="2">
        <v>41</v>
      </c>
      <c r="C1224" s="8">
        <v>45906</v>
      </c>
      <c r="D1224" s="2" t="s">
        <v>19</v>
      </c>
      <c r="E1224" s="2" t="s">
        <v>18</v>
      </c>
    </row>
    <row r="1225" spans="1:5" x14ac:dyDescent="0.25">
      <c r="A1225" s="2">
        <v>1265</v>
      </c>
      <c r="B1225" s="2">
        <v>32</v>
      </c>
      <c r="C1225" s="8">
        <v>45852</v>
      </c>
      <c r="D1225" s="2" t="s">
        <v>12</v>
      </c>
      <c r="E1225" s="2" t="s">
        <v>18</v>
      </c>
    </row>
    <row r="1226" spans="1:5" x14ac:dyDescent="0.25">
      <c r="A1226" s="2">
        <v>1076</v>
      </c>
      <c r="B1226" s="2">
        <v>27</v>
      </c>
      <c r="C1226" s="8">
        <v>45813</v>
      </c>
      <c r="D1226" s="2" t="s">
        <v>15</v>
      </c>
      <c r="E1226" s="2" t="s">
        <v>18</v>
      </c>
    </row>
    <row r="1227" spans="1:5" x14ac:dyDescent="0.25">
      <c r="A1227" s="2">
        <v>468</v>
      </c>
      <c r="B1227" s="2">
        <v>12</v>
      </c>
      <c r="C1227" s="8">
        <v>45733</v>
      </c>
      <c r="D1227" s="2" t="s">
        <v>20</v>
      </c>
      <c r="E1227" s="2" t="s">
        <v>14</v>
      </c>
    </row>
    <row r="1228" spans="1:5" x14ac:dyDescent="0.25">
      <c r="A1228" s="2">
        <v>596</v>
      </c>
      <c r="B1228" s="2">
        <v>14</v>
      </c>
      <c r="C1228" s="8">
        <v>45731</v>
      </c>
      <c r="D1228" s="2" t="s">
        <v>19</v>
      </c>
      <c r="E1228" s="2" t="s">
        <v>16</v>
      </c>
    </row>
    <row r="1229" spans="1:5" x14ac:dyDescent="0.25">
      <c r="A1229" s="2">
        <v>1581</v>
      </c>
      <c r="B1229" s="2">
        <v>41</v>
      </c>
      <c r="C1229" s="8">
        <v>45910</v>
      </c>
      <c r="D1229" s="2" t="s">
        <v>19</v>
      </c>
      <c r="E1229" s="2" t="s">
        <v>13</v>
      </c>
    </row>
    <row r="1230" spans="1:5" x14ac:dyDescent="0.25">
      <c r="A1230" s="2">
        <v>36</v>
      </c>
      <c r="B1230" s="2">
        <v>2</v>
      </c>
      <c r="C1230" s="8">
        <v>45679</v>
      </c>
      <c r="D1230" s="2" t="s">
        <v>12</v>
      </c>
      <c r="E1230" s="2" t="s">
        <v>14</v>
      </c>
    </row>
    <row r="1231" spans="1:5" x14ac:dyDescent="0.25">
      <c r="A1231" s="2">
        <v>93</v>
      </c>
      <c r="B1231" s="2">
        <v>3</v>
      </c>
      <c r="C1231" s="8">
        <v>45664</v>
      </c>
      <c r="D1231" s="2" t="s">
        <v>12</v>
      </c>
      <c r="E1231" s="2" t="s">
        <v>16</v>
      </c>
    </row>
    <row r="1232" spans="1:5" x14ac:dyDescent="0.25">
      <c r="A1232" s="2">
        <v>225</v>
      </c>
      <c r="B1232" s="2">
        <v>5</v>
      </c>
      <c r="C1232" s="8">
        <v>45679</v>
      </c>
      <c r="D1232" s="2" t="s">
        <v>12</v>
      </c>
      <c r="E1232" s="2" t="s">
        <v>16</v>
      </c>
    </row>
    <row r="1233" spans="1:5" x14ac:dyDescent="0.25">
      <c r="A1233" s="2">
        <v>968</v>
      </c>
      <c r="B1233" s="2">
        <v>24</v>
      </c>
      <c r="C1233" s="8">
        <v>45805</v>
      </c>
      <c r="D1233" s="2" t="s">
        <v>12</v>
      </c>
      <c r="E1233" s="2" t="s">
        <v>18</v>
      </c>
    </row>
    <row r="1234" spans="1:5" x14ac:dyDescent="0.25">
      <c r="A1234" s="2">
        <v>507</v>
      </c>
      <c r="B1234" s="2">
        <v>12</v>
      </c>
      <c r="C1234" s="8">
        <v>45724</v>
      </c>
      <c r="D1234" s="2" t="s">
        <v>20</v>
      </c>
      <c r="E1234" s="2" t="s">
        <v>18</v>
      </c>
    </row>
    <row r="1235" spans="1:5" x14ac:dyDescent="0.25">
      <c r="A1235" s="2">
        <v>1001</v>
      </c>
      <c r="B1235" s="2">
        <v>26</v>
      </c>
      <c r="C1235" s="8">
        <v>45836</v>
      </c>
      <c r="D1235" s="2" t="s">
        <v>19</v>
      </c>
      <c r="E1235" s="2" t="s">
        <v>13</v>
      </c>
    </row>
    <row r="1236" spans="1:5" x14ac:dyDescent="0.25">
      <c r="A1236" s="2">
        <v>3</v>
      </c>
      <c r="B1236" s="2">
        <v>1</v>
      </c>
      <c r="C1236" s="8">
        <v>45666</v>
      </c>
      <c r="D1236" s="2" t="s">
        <v>12</v>
      </c>
      <c r="E1236" s="2" t="s">
        <v>13</v>
      </c>
    </row>
    <row r="1237" spans="1:5" x14ac:dyDescent="0.25">
      <c r="A1237" s="2">
        <v>1422</v>
      </c>
      <c r="B1237" s="2">
        <v>37</v>
      </c>
      <c r="C1237" s="8">
        <v>45888</v>
      </c>
      <c r="D1237" s="2" t="s">
        <v>12</v>
      </c>
      <c r="E1237" s="2" t="s">
        <v>18</v>
      </c>
    </row>
    <row r="1238" spans="1:5" x14ac:dyDescent="0.25">
      <c r="A1238" s="2">
        <v>971</v>
      </c>
      <c r="B1238" s="2">
        <v>24</v>
      </c>
      <c r="C1238" s="8">
        <v>45801</v>
      </c>
      <c r="D1238" s="2" t="s">
        <v>20</v>
      </c>
      <c r="E1238" s="2" t="s">
        <v>16</v>
      </c>
    </row>
    <row r="1239" spans="1:5" x14ac:dyDescent="0.25">
      <c r="A1239" s="2">
        <v>1565</v>
      </c>
      <c r="B1239" s="2">
        <v>41</v>
      </c>
      <c r="C1239" s="8">
        <v>45914</v>
      </c>
      <c r="D1239" s="2" t="s">
        <v>12</v>
      </c>
      <c r="E1239" s="2" t="s">
        <v>13</v>
      </c>
    </row>
    <row r="1240" spans="1:5" x14ac:dyDescent="0.25">
      <c r="A1240" s="2">
        <v>1306</v>
      </c>
      <c r="B1240" s="2">
        <v>33</v>
      </c>
      <c r="C1240" s="8">
        <v>45847</v>
      </c>
      <c r="D1240" s="2" t="s">
        <v>12</v>
      </c>
      <c r="E1240" s="2" t="s">
        <v>16</v>
      </c>
    </row>
    <row r="1241" spans="1:5" x14ac:dyDescent="0.25">
      <c r="A1241" s="2">
        <v>1547</v>
      </c>
      <c r="B1241" s="2">
        <v>39</v>
      </c>
      <c r="C1241" s="8">
        <v>45870</v>
      </c>
      <c r="D1241" s="2" t="s">
        <v>12</v>
      </c>
      <c r="E1241" s="2" t="s">
        <v>16</v>
      </c>
    </row>
    <row r="1242" spans="1:5" x14ac:dyDescent="0.25">
      <c r="A1242" s="2">
        <v>1799</v>
      </c>
      <c r="B1242" s="2">
        <v>46</v>
      </c>
      <c r="C1242" s="8">
        <v>45943</v>
      </c>
      <c r="D1242" s="2" t="s">
        <v>15</v>
      </c>
      <c r="E1242" s="2" t="s">
        <v>14</v>
      </c>
    </row>
    <row r="1243" spans="1:5" x14ac:dyDescent="0.25">
      <c r="A1243" s="2">
        <v>158</v>
      </c>
      <c r="B1243" s="2">
        <v>3</v>
      </c>
      <c r="C1243" s="8">
        <v>45672</v>
      </c>
      <c r="D1243" s="2" t="s">
        <v>12</v>
      </c>
      <c r="E1243" s="2" t="s">
        <v>18</v>
      </c>
    </row>
    <row r="1244" spans="1:5" x14ac:dyDescent="0.25">
      <c r="A1244" s="2">
        <v>2023</v>
      </c>
      <c r="B1244" s="2">
        <v>53</v>
      </c>
      <c r="C1244" s="8">
        <v>45969</v>
      </c>
      <c r="D1244" s="2" t="s">
        <v>20</v>
      </c>
      <c r="E1244" s="2" t="s">
        <v>18</v>
      </c>
    </row>
    <row r="1245" spans="1:5" x14ac:dyDescent="0.25">
      <c r="A1245" s="2">
        <v>364</v>
      </c>
      <c r="B1245" s="2">
        <v>8</v>
      </c>
      <c r="C1245" s="8">
        <v>45712</v>
      </c>
      <c r="D1245" s="2" t="s">
        <v>12</v>
      </c>
      <c r="E1245" s="2" t="s">
        <v>18</v>
      </c>
    </row>
    <row r="1246" spans="1:5" x14ac:dyDescent="0.25">
      <c r="A1246" s="2">
        <v>43</v>
      </c>
      <c r="B1246" s="2">
        <v>2</v>
      </c>
      <c r="C1246" s="8">
        <v>45679</v>
      </c>
      <c r="D1246" s="2" t="s">
        <v>12</v>
      </c>
      <c r="E1246" s="2" t="s">
        <v>16</v>
      </c>
    </row>
    <row r="1247" spans="1:5" x14ac:dyDescent="0.25">
      <c r="A1247" s="2">
        <v>685</v>
      </c>
      <c r="B1247" s="2">
        <v>17</v>
      </c>
      <c r="C1247" s="8">
        <v>45774</v>
      </c>
      <c r="D1247" s="2" t="s">
        <v>19</v>
      </c>
      <c r="E1247" s="2" t="s">
        <v>16</v>
      </c>
    </row>
    <row r="1248" spans="1:5" x14ac:dyDescent="0.25">
      <c r="A1248" s="2">
        <v>877</v>
      </c>
      <c r="B1248" s="2">
        <v>22</v>
      </c>
      <c r="C1248" s="8">
        <v>45783</v>
      </c>
      <c r="D1248" s="2" t="s">
        <v>20</v>
      </c>
      <c r="E1248" s="2" t="s">
        <v>13</v>
      </c>
    </row>
    <row r="1249" spans="1:5" x14ac:dyDescent="0.25">
      <c r="A1249" s="2">
        <v>972</v>
      </c>
      <c r="B1249" s="2">
        <v>24</v>
      </c>
      <c r="C1249" s="8">
        <v>45803</v>
      </c>
      <c r="D1249" s="2" t="s">
        <v>19</v>
      </c>
      <c r="E1249" s="2" t="s">
        <v>16</v>
      </c>
    </row>
    <row r="1250" spans="1:5" x14ac:dyDescent="0.25">
      <c r="A1250" s="2">
        <v>1384</v>
      </c>
      <c r="B1250" s="2">
        <v>35</v>
      </c>
      <c r="C1250" s="8">
        <v>45855</v>
      </c>
      <c r="D1250" s="2" t="s">
        <v>17</v>
      </c>
      <c r="E1250" s="2" t="s">
        <v>14</v>
      </c>
    </row>
    <row r="1251" spans="1:5" x14ac:dyDescent="0.25">
      <c r="A1251" s="2">
        <v>1698</v>
      </c>
      <c r="B1251" s="2">
        <v>43</v>
      </c>
      <c r="C1251" s="8">
        <v>45926</v>
      </c>
      <c r="D1251" s="2" t="s">
        <v>20</v>
      </c>
      <c r="E1251" s="2" t="s">
        <v>18</v>
      </c>
    </row>
    <row r="1252" spans="1:5" x14ac:dyDescent="0.25">
      <c r="A1252" s="2">
        <v>933</v>
      </c>
      <c r="B1252" s="2">
        <v>23</v>
      </c>
      <c r="C1252" s="8">
        <v>45784</v>
      </c>
      <c r="D1252" s="2" t="s">
        <v>15</v>
      </c>
      <c r="E1252" s="2" t="s">
        <v>18</v>
      </c>
    </row>
    <row r="1253" spans="1:5" x14ac:dyDescent="0.25">
      <c r="A1253" s="2">
        <v>681</v>
      </c>
      <c r="B1253" s="2">
        <v>17</v>
      </c>
      <c r="C1253" s="8">
        <v>45763</v>
      </c>
      <c r="D1253" s="2" t="s">
        <v>19</v>
      </c>
      <c r="E1253" s="2" t="s">
        <v>13</v>
      </c>
    </row>
    <row r="1254" spans="1:5" x14ac:dyDescent="0.25">
      <c r="A1254" s="2">
        <v>1339</v>
      </c>
      <c r="B1254" s="2">
        <v>33</v>
      </c>
      <c r="C1254" s="8">
        <v>45855</v>
      </c>
      <c r="D1254" s="2" t="s">
        <v>12</v>
      </c>
      <c r="E1254" s="2" t="s">
        <v>14</v>
      </c>
    </row>
    <row r="1255" spans="1:5" x14ac:dyDescent="0.25">
      <c r="A1255" s="2">
        <v>2107</v>
      </c>
      <c r="B1255" s="2">
        <v>58</v>
      </c>
      <c r="C1255" s="8">
        <v>45996</v>
      </c>
      <c r="D1255" s="2" t="s">
        <v>12</v>
      </c>
      <c r="E1255" s="2" t="s">
        <v>13</v>
      </c>
    </row>
    <row r="1256" spans="1:5" x14ac:dyDescent="0.25">
      <c r="A1256" s="2">
        <v>1596</v>
      </c>
      <c r="B1256" s="2">
        <v>42</v>
      </c>
      <c r="C1256" s="8">
        <v>45920</v>
      </c>
      <c r="D1256" s="2" t="s">
        <v>12</v>
      </c>
      <c r="E1256" s="2" t="s">
        <v>18</v>
      </c>
    </row>
    <row r="1257" spans="1:5" x14ac:dyDescent="0.25">
      <c r="A1257" s="2">
        <v>646</v>
      </c>
      <c r="B1257" s="2">
        <v>16</v>
      </c>
      <c r="C1257" s="8">
        <v>45755</v>
      </c>
      <c r="D1257" s="2" t="s">
        <v>19</v>
      </c>
      <c r="E1257" s="2" t="s">
        <v>14</v>
      </c>
    </row>
    <row r="1258" spans="1:5" x14ac:dyDescent="0.25">
      <c r="A1258" s="2">
        <v>1424</v>
      </c>
      <c r="B1258" s="2">
        <v>37</v>
      </c>
      <c r="C1258" s="8">
        <v>45893</v>
      </c>
      <c r="D1258" s="2" t="s">
        <v>20</v>
      </c>
      <c r="E1258" s="2" t="s">
        <v>13</v>
      </c>
    </row>
    <row r="1259" spans="1:5" x14ac:dyDescent="0.25">
      <c r="A1259" s="2">
        <v>1289</v>
      </c>
      <c r="B1259" s="2">
        <v>33</v>
      </c>
      <c r="C1259" s="8">
        <v>45842</v>
      </c>
      <c r="D1259" s="2" t="s">
        <v>19</v>
      </c>
      <c r="E1259" s="2" t="s">
        <v>16</v>
      </c>
    </row>
    <row r="1260" spans="1:5" x14ac:dyDescent="0.25">
      <c r="A1260" s="2">
        <v>626</v>
      </c>
      <c r="B1260" s="2">
        <v>15</v>
      </c>
      <c r="C1260" s="8">
        <v>45729</v>
      </c>
      <c r="D1260" s="2" t="s">
        <v>12</v>
      </c>
      <c r="E1260" s="2" t="s">
        <v>18</v>
      </c>
    </row>
    <row r="1261" spans="1:5" x14ac:dyDescent="0.25">
      <c r="A1261" s="2">
        <v>977</v>
      </c>
      <c r="B1261" s="2">
        <v>24</v>
      </c>
      <c r="C1261" s="8">
        <v>45798</v>
      </c>
      <c r="D1261" s="2" t="s">
        <v>20</v>
      </c>
      <c r="E1261" s="2" t="s">
        <v>18</v>
      </c>
    </row>
    <row r="1262" spans="1:5" x14ac:dyDescent="0.25">
      <c r="A1262" s="2">
        <v>1860</v>
      </c>
      <c r="B1262" s="2">
        <v>48</v>
      </c>
      <c r="C1262" s="8">
        <v>45954</v>
      </c>
      <c r="D1262" s="2" t="s">
        <v>12</v>
      </c>
      <c r="E1262" s="2" t="s">
        <v>16</v>
      </c>
    </row>
    <row r="1263" spans="1:5" x14ac:dyDescent="0.25">
      <c r="A1263" s="2">
        <v>380</v>
      </c>
      <c r="B1263" s="2">
        <v>8</v>
      </c>
      <c r="C1263" s="8">
        <v>45703</v>
      </c>
      <c r="D1263" s="2" t="s">
        <v>12</v>
      </c>
      <c r="E1263" s="2" t="s">
        <v>18</v>
      </c>
    </row>
    <row r="1264" spans="1:5" x14ac:dyDescent="0.25">
      <c r="A1264" s="2">
        <v>194</v>
      </c>
      <c r="B1264" s="2">
        <v>4</v>
      </c>
      <c r="C1264" s="8">
        <v>45748</v>
      </c>
      <c r="D1264" s="2" t="s">
        <v>19</v>
      </c>
      <c r="E1264" s="2" t="s">
        <v>18</v>
      </c>
    </row>
    <row r="1265" spans="1:5" x14ac:dyDescent="0.25">
      <c r="A1265" s="2">
        <v>7</v>
      </c>
      <c r="B1265" s="2">
        <v>1</v>
      </c>
      <c r="C1265" s="8">
        <v>45663</v>
      </c>
      <c r="D1265" s="2" t="s">
        <v>12</v>
      </c>
      <c r="E1265" s="2" t="s">
        <v>16</v>
      </c>
    </row>
    <row r="1266" spans="1:5" x14ac:dyDescent="0.25">
      <c r="A1266" s="2">
        <v>1283</v>
      </c>
      <c r="B1266" s="2">
        <v>33</v>
      </c>
      <c r="C1266" s="8">
        <v>45839</v>
      </c>
      <c r="D1266" s="2" t="s">
        <v>19</v>
      </c>
      <c r="E1266" s="2" t="s">
        <v>13</v>
      </c>
    </row>
    <row r="1267" spans="1:5" x14ac:dyDescent="0.25">
      <c r="A1267" s="2">
        <v>2090</v>
      </c>
      <c r="B1267" s="2">
        <v>57</v>
      </c>
      <c r="C1267" s="8">
        <v>46000</v>
      </c>
      <c r="D1267" s="2" t="s">
        <v>12</v>
      </c>
      <c r="E1267" s="2" t="s">
        <v>18</v>
      </c>
    </row>
    <row r="1268" spans="1:5" x14ac:dyDescent="0.25">
      <c r="A1268" s="2">
        <v>590</v>
      </c>
      <c r="B1268" s="2">
        <v>13</v>
      </c>
      <c r="C1268" s="8">
        <v>45730</v>
      </c>
      <c r="D1268" s="2" t="s">
        <v>12</v>
      </c>
      <c r="E1268" s="2" t="s">
        <v>13</v>
      </c>
    </row>
    <row r="1269" spans="1:5" x14ac:dyDescent="0.25">
      <c r="A1269" s="2">
        <v>712</v>
      </c>
      <c r="B1269" s="2">
        <v>18</v>
      </c>
      <c r="C1269" s="8">
        <v>45760</v>
      </c>
      <c r="D1269" s="2" t="s">
        <v>19</v>
      </c>
      <c r="E1269" s="2" t="s">
        <v>18</v>
      </c>
    </row>
    <row r="1270" spans="1:5" x14ac:dyDescent="0.25">
      <c r="A1270" s="2">
        <v>417</v>
      </c>
      <c r="B1270" s="2">
        <v>10</v>
      </c>
      <c r="C1270" s="8">
        <v>45713</v>
      </c>
      <c r="D1270" s="2" t="s">
        <v>12</v>
      </c>
      <c r="E1270" s="2" t="s">
        <v>18</v>
      </c>
    </row>
    <row r="1271" spans="1:5" x14ac:dyDescent="0.25">
      <c r="A1271" s="2">
        <v>2111</v>
      </c>
      <c r="B1271" s="2">
        <v>58</v>
      </c>
      <c r="C1271" s="8">
        <v>45997</v>
      </c>
      <c r="D1271" s="2" t="s">
        <v>19</v>
      </c>
      <c r="E1271" s="2" t="s">
        <v>16</v>
      </c>
    </row>
    <row r="1272" spans="1:5" x14ac:dyDescent="0.25">
      <c r="A1272" s="2">
        <v>1390</v>
      </c>
      <c r="B1272" s="2">
        <v>36</v>
      </c>
      <c r="C1272" s="8">
        <v>45870</v>
      </c>
      <c r="D1272" s="2" t="s">
        <v>20</v>
      </c>
      <c r="E1272" s="2" t="s">
        <v>18</v>
      </c>
    </row>
    <row r="1273" spans="1:5" x14ac:dyDescent="0.25">
      <c r="A1273" s="2">
        <v>1015</v>
      </c>
      <c r="B1273" s="2">
        <v>26</v>
      </c>
      <c r="C1273" s="8" t="s">
        <v>36</v>
      </c>
      <c r="D1273" s="2" t="s">
        <v>12</v>
      </c>
      <c r="E1273" s="2" t="s">
        <v>13</v>
      </c>
    </row>
    <row r="1274" spans="1:5" x14ac:dyDescent="0.25">
      <c r="A1274" s="2">
        <v>550</v>
      </c>
      <c r="B1274" s="2">
        <v>13</v>
      </c>
      <c r="C1274" s="8">
        <v>45744</v>
      </c>
      <c r="D1274" s="2" t="s">
        <v>12</v>
      </c>
      <c r="E1274" s="2" t="s">
        <v>18</v>
      </c>
    </row>
    <row r="1275" spans="1:5" x14ac:dyDescent="0.25">
      <c r="A1275" s="2">
        <v>1632</v>
      </c>
      <c r="B1275" s="2">
        <v>42</v>
      </c>
      <c r="C1275" s="8">
        <v>45909</v>
      </c>
      <c r="D1275" s="2" t="s">
        <v>12</v>
      </c>
      <c r="E1275" s="2" t="s">
        <v>13</v>
      </c>
    </row>
    <row r="1276" spans="1:5" x14ac:dyDescent="0.25">
      <c r="A1276" s="2">
        <v>208</v>
      </c>
      <c r="B1276" s="2">
        <v>4</v>
      </c>
      <c r="C1276" s="8">
        <v>45662</v>
      </c>
      <c r="D1276" s="2" t="s">
        <v>12</v>
      </c>
      <c r="E1276" s="2" t="s">
        <v>18</v>
      </c>
    </row>
    <row r="1277" spans="1:5" x14ac:dyDescent="0.25">
      <c r="A1277" s="2">
        <v>1994</v>
      </c>
      <c r="B1277" s="2">
        <v>52</v>
      </c>
      <c r="C1277" s="8">
        <v>45963</v>
      </c>
      <c r="D1277" s="2" t="s">
        <v>20</v>
      </c>
      <c r="E1277" s="2" t="s">
        <v>13</v>
      </c>
    </row>
    <row r="1278" spans="1:5" x14ac:dyDescent="0.25">
      <c r="A1278" s="2">
        <v>1764</v>
      </c>
      <c r="B1278" s="2">
        <v>46</v>
      </c>
      <c r="C1278" s="8">
        <v>45951</v>
      </c>
      <c r="D1278" s="2" t="s">
        <v>12</v>
      </c>
      <c r="E1278" s="2" t="s">
        <v>14</v>
      </c>
    </row>
    <row r="1279" spans="1:5" x14ac:dyDescent="0.25">
      <c r="A1279" s="2">
        <v>829</v>
      </c>
      <c r="B1279" s="2">
        <v>21</v>
      </c>
      <c r="C1279" s="8">
        <v>45803</v>
      </c>
      <c r="D1279" s="2" t="s">
        <v>20</v>
      </c>
      <c r="E1279" s="2" t="s">
        <v>14</v>
      </c>
    </row>
    <row r="1280" spans="1:5" x14ac:dyDescent="0.25">
      <c r="A1280" s="2">
        <v>1359</v>
      </c>
      <c r="B1280" s="2">
        <v>34</v>
      </c>
      <c r="C1280" s="8">
        <v>45853</v>
      </c>
      <c r="D1280" s="2" t="s">
        <v>19</v>
      </c>
      <c r="E1280" s="2" t="s">
        <v>16</v>
      </c>
    </row>
    <row r="1281" spans="1:5" x14ac:dyDescent="0.25">
      <c r="A1281" s="2">
        <v>1445</v>
      </c>
      <c r="B1281" s="2">
        <v>38</v>
      </c>
      <c r="C1281" s="8">
        <v>45887</v>
      </c>
      <c r="D1281" s="2" t="s">
        <v>15</v>
      </c>
      <c r="E1281" s="2" t="s">
        <v>16</v>
      </c>
    </row>
    <row r="1282" spans="1:5" x14ac:dyDescent="0.25">
      <c r="A1282" s="2">
        <v>565</v>
      </c>
      <c r="B1282" s="2">
        <v>13</v>
      </c>
      <c r="C1282" s="8">
        <v>45727</v>
      </c>
      <c r="D1282" s="2" t="s">
        <v>15</v>
      </c>
      <c r="E1282" s="2" t="s">
        <v>18</v>
      </c>
    </row>
    <row r="1283" spans="1:5" x14ac:dyDescent="0.25">
      <c r="A1283" s="2">
        <v>1688</v>
      </c>
      <c r="B1283" s="2">
        <v>43</v>
      </c>
      <c r="C1283" s="8">
        <v>45905</v>
      </c>
      <c r="D1283" s="2" t="s">
        <v>17</v>
      </c>
      <c r="E1283" s="2" t="s">
        <v>18</v>
      </c>
    </row>
    <row r="1284" spans="1:5" x14ac:dyDescent="0.25">
      <c r="A1284" s="2">
        <v>1090</v>
      </c>
      <c r="B1284" s="2">
        <v>27</v>
      </c>
      <c r="C1284" s="8">
        <v>45810</v>
      </c>
      <c r="D1284" s="2" t="s">
        <v>12</v>
      </c>
      <c r="E1284" s="2" t="s">
        <v>13</v>
      </c>
    </row>
    <row r="1285" spans="1:5" x14ac:dyDescent="0.25">
      <c r="A1285" s="2">
        <v>135</v>
      </c>
      <c r="B1285" s="2">
        <v>3</v>
      </c>
      <c r="C1285" s="8">
        <v>45685</v>
      </c>
      <c r="D1285" s="2" t="s">
        <v>15</v>
      </c>
      <c r="E1285" s="2" t="s">
        <v>16</v>
      </c>
    </row>
    <row r="1286" spans="1:5" x14ac:dyDescent="0.25">
      <c r="A1286" s="2">
        <v>489</v>
      </c>
      <c r="B1286" s="2">
        <v>12</v>
      </c>
      <c r="C1286" s="8">
        <v>45722</v>
      </c>
      <c r="D1286" s="2" t="s">
        <v>19</v>
      </c>
      <c r="E1286" s="2" t="s">
        <v>18</v>
      </c>
    </row>
    <row r="1287" spans="1:5" x14ac:dyDescent="0.25">
      <c r="A1287" s="2">
        <v>546</v>
      </c>
      <c r="B1287" s="2">
        <v>13</v>
      </c>
      <c r="C1287" s="8">
        <v>45721</v>
      </c>
      <c r="D1287" s="2" t="s">
        <v>20</v>
      </c>
      <c r="E1287" s="2" t="s">
        <v>16</v>
      </c>
    </row>
    <row r="1288" spans="1:5" x14ac:dyDescent="0.25">
      <c r="A1288" s="2">
        <v>1179</v>
      </c>
      <c r="B1288" s="2">
        <v>30</v>
      </c>
      <c r="C1288" s="8">
        <v>45823</v>
      </c>
      <c r="D1288" s="2" t="s">
        <v>19</v>
      </c>
      <c r="E1288" s="2" t="s">
        <v>18</v>
      </c>
    </row>
    <row r="1289" spans="1:5" x14ac:dyDescent="0.25">
      <c r="A1289" s="2">
        <v>74</v>
      </c>
      <c r="B1289" s="2">
        <v>2</v>
      </c>
      <c r="C1289" s="8">
        <v>45658</v>
      </c>
      <c r="D1289" s="2" t="s">
        <v>12</v>
      </c>
      <c r="E1289" s="2" t="s">
        <v>14</v>
      </c>
    </row>
    <row r="1290" spans="1:5" x14ac:dyDescent="0.25">
      <c r="A1290" s="2">
        <v>1493</v>
      </c>
      <c r="B1290" s="2">
        <v>38</v>
      </c>
      <c r="C1290" s="8">
        <v>45892</v>
      </c>
      <c r="D1290" s="2" t="s">
        <v>20</v>
      </c>
      <c r="E1290" s="2" t="s">
        <v>16</v>
      </c>
    </row>
    <row r="1291" spans="1:5" x14ac:dyDescent="0.25">
      <c r="A1291" s="2">
        <v>1637</v>
      </c>
      <c r="B1291" s="2">
        <v>43</v>
      </c>
      <c r="C1291" s="8">
        <v>45910</v>
      </c>
      <c r="D1291" s="2" t="s">
        <v>12</v>
      </c>
      <c r="E1291" s="2" t="s">
        <v>16</v>
      </c>
    </row>
    <row r="1292" spans="1:5" x14ac:dyDescent="0.25">
      <c r="A1292" s="2">
        <v>450</v>
      </c>
      <c r="B1292" s="2">
        <v>11</v>
      </c>
      <c r="C1292" s="8">
        <v>45743</v>
      </c>
      <c r="D1292" s="2" t="s">
        <v>12</v>
      </c>
      <c r="E1292" s="2" t="s">
        <v>13</v>
      </c>
    </row>
    <row r="1293" spans="1:5" x14ac:dyDescent="0.25">
      <c r="A1293" s="2">
        <v>1703</v>
      </c>
      <c r="B1293" s="2">
        <v>43</v>
      </c>
      <c r="C1293" s="8">
        <v>45922</v>
      </c>
      <c r="D1293" s="2" t="s">
        <v>20</v>
      </c>
      <c r="E1293" s="2" t="s">
        <v>18</v>
      </c>
    </row>
    <row r="1294" spans="1:5" x14ac:dyDescent="0.25">
      <c r="A1294" s="2">
        <v>510</v>
      </c>
      <c r="B1294" s="2">
        <v>12</v>
      </c>
      <c r="C1294" s="8">
        <v>45720</v>
      </c>
      <c r="D1294" s="2" t="s">
        <v>12</v>
      </c>
      <c r="E1294" s="2" t="s">
        <v>16</v>
      </c>
    </row>
    <row r="1295" spans="1:5" x14ac:dyDescent="0.25">
      <c r="A1295" s="2">
        <v>103</v>
      </c>
      <c r="B1295" s="2">
        <v>3</v>
      </c>
      <c r="C1295" s="8">
        <v>45677</v>
      </c>
      <c r="D1295" s="2" t="s">
        <v>12</v>
      </c>
      <c r="E1295" s="2" t="s">
        <v>13</v>
      </c>
    </row>
    <row r="1296" spans="1:5" x14ac:dyDescent="0.25">
      <c r="A1296" s="2">
        <v>224</v>
      </c>
      <c r="B1296" s="2">
        <v>5</v>
      </c>
      <c r="C1296" s="8">
        <v>45682</v>
      </c>
      <c r="D1296" s="2" t="s">
        <v>12</v>
      </c>
      <c r="E1296" s="2" t="s">
        <v>18</v>
      </c>
    </row>
    <row r="1297" spans="1:5" x14ac:dyDescent="0.25">
      <c r="A1297" s="2">
        <v>1594</v>
      </c>
      <c r="B1297" s="2">
        <v>42</v>
      </c>
      <c r="C1297" s="8">
        <v>45910</v>
      </c>
      <c r="D1297" s="2" t="s">
        <v>12</v>
      </c>
      <c r="E1297" s="2" t="s">
        <v>18</v>
      </c>
    </row>
    <row r="1298" spans="1:5" x14ac:dyDescent="0.25">
      <c r="A1298" s="2">
        <v>1805</v>
      </c>
      <c r="B1298" s="2">
        <v>47</v>
      </c>
      <c r="C1298" s="8">
        <v>45945</v>
      </c>
      <c r="D1298" s="2" t="s">
        <v>12</v>
      </c>
      <c r="E1298" s="2" t="s">
        <v>16</v>
      </c>
    </row>
    <row r="1299" spans="1:5" x14ac:dyDescent="0.25">
      <c r="A1299" s="2">
        <v>1460</v>
      </c>
      <c r="B1299" s="2">
        <v>38</v>
      </c>
      <c r="C1299" s="8">
        <v>45885</v>
      </c>
      <c r="D1299" s="2" t="s">
        <v>12</v>
      </c>
      <c r="E1299" s="2" t="s">
        <v>13</v>
      </c>
    </row>
    <row r="1300" spans="1:5" x14ac:dyDescent="0.25">
      <c r="A1300" s="2">
        <v>1524</v>
      </c>
      <c r="B1300" s="2">
        <v>39</v>
      </c>
      <c r="C1300" s="8">
        <v>45896</v>
      </c>
      <c r="D1300" s="2" t="s">
        <v>12</v>
      </c>
      <c r="E1300" s="2" t="s">
        <v>16</v>
      </c>
    </row>
    <row r="1301" spans="1:5" x14ac:dyDescent="0.25">
      <c r="A1301" s="2">
        <v>1085</v>
      </c>
      <c r="B1301" s="2">
        <v>27</v>
      </c>
      <c r="C1301" s="8">
        <v>45830</v>
      </c>
      <c r="D1301" s="2" t="s">
        <v>12</v>
      </c>
      <c r="E1301" s="2" t="s">
        <v>18</v>
      </c>
    </row>
    <row r="1302" spans="1:5" x14ac:dyDescent="0.25">
      <c r="A1302" s="2">
        <v>566</v>
      </c>
      <c r="B1302" s="2">
        <v>13</v>
      </c>
      <c r="C1302" s="8">
        <v>45721</v>
      </c>
      <c r="D1302" s="2" t="s">
        <v>20</v>
      </c>
      <c r="E1302" s="2" t="s">
        <v>16</v>
      </c>
    </row>
    <row r="1303" spans="1:5" x14ac:dyDescent="0.25">
      <c r="A1303" s="2">
        <v>1217</v>
      </c>
      <c r="B1303" s="2">
        <v>31</v>
      </c>
      <c r="C1303" s="8">
        <v>45848</v>
      </c>
      <c r="D1303" s="2" t="s">
        <v>20</v>
      </c>
      <c r="E1303" s="2" t="s">
        <v>18</v>
      </c>
    </row>
    <row r="1304" spans="1:5" x14ac:dyDescent="0.25">
      <c r="A1304" s="2">
        <v>362</v>
      </c>
      <c r="B1304" s="2">
        <v>8</v>
      </c>
      <c r="C1304" s="8">
        <v>45709</v>
      </c>
      <c r="D1304" s="2" t="s">
        <v>12</v>
      </c>
      <c r="E1304" s="2" t="s">
        <v>18</v>
      </c>
    </row>
    <row r="1305" spans="1:5" x14ac:dyDescent="0.25">
      <c r="A1305" s="2">
        <v>1487</v>
      </c>
      <c r="B1305" s="2">
        <v>38</v>
      </c>
      <c r="C1305" s="8">
        <v>45896</v>
      </c>
      <c r="D1305" s="2" t="s">
        <v>20</v>
      </c>
      <c r="E1305" s="2" t="s">
        <v>16</v>
      </c>
    </row>
    <row r="1306" spans="1:5" x14ac:dyDescent="0.25">
      <c r="A1306" s="2">
        <v>388</v>
      </c>
      <c r="B1306" s="2">
        <v>9</v>
      </c>
      <c r="C1306" s="8">
        <v>45715</v>
      </c>
      <c r="D1306" s="2" t="s">
        <v>15</v>
      </c>
      <c r="E1306" s="2" t="s">
        <v>13</v>
      </c>
    </row>
    <row r="1307" spans="1:5" x14ac:dyDescent="0.25">
      <c r="A1307" s="2">
        <v>1618</v>
      </c>
      <c r="B1307" s="2">
        <v>42</v>
      </c>
      <c r="C1307" s="8">
        <v>45917</v>
      </c>
      <c r="D1307" s="2" t="s">
        <v>19</v>
      </c>
      <c r="E1307" s="2" t="s">
        <v>14</v>
      </c>
    </row>
    <row r="1308" spans="1:5" x14ac:dyDescent="0.25">
      <c r="A1308" s="2">
        <v>398</v>
      </c>
      <c r="B1308" s="2">
        <v>9</v>
      </c>
      <c r="C1308" s="8">
        <v>45691</v>
      </c>
      <c r="D1308" s="2" t="s">
        <v>19</v>
      </c>
      <c r="E1308" s="2" t="s">
        <v>16</v>
      </c>
    </row>
    <row r="1309" spans="1:5" x14ac:dyDescent="0.25">
      <c r="A1309" s="2">
        <v>866</v>
      </c>
      <c r="B1309" s="2">
        <v>21</v>
      </c>
      <c r="C1309" s="8">
        <v>45780</v>
      </c>
      <c r="D1309" s="2" t="s">
        <v>12</v>
      </c>
      <c r="E1309" s="2" t="s">
        <v>16</v>
      </c>
    </row>
    <row r="1310" spans="1:5" x14ac:dyDescent="0.25">
      <c r="A1310" s="2">
        <v>1739</v>
      </c>
      <c r="B1310" s="2">
        <v>45</v>
      </c>
      <c r="C1310" s="8">
        <v>45911</v>
      </c>
      <c r="D1310" s="2" t="s">
        <v>12</v>
      </c>
      <c r="E1310" s="2" t="s">
        <v>13</v>
      </c>
    </row>
    <row r="1311" spans="1:5" x14ac:dyDescent="0.25">
      <c r="A1311" s="2">
        <v>101</v>
      </c>
      <c r="B1311" s="2">
        <v>3</v>
      </c>
      <c r="C1311" s="8">
        <v>45660</v>
      </c>
      <c r="D1311" s="2" t="s">
        <v>19</v>
      </c>
      <c r="E1311" s="2" t="s">
        <v>16</v>
      </c>
    </row>
    <row r="1312" spans="1:5" x14ac:dyDescent="0.25">
      <c r="A1312" s="2">
        <v>201</v>
      </c>
      <c r="B1312" s="2">
        <v>4</v>
      </c>
      <c r="C1312" s="8">
        <v>45660</v>
      </c>
      <c r="D1312" s="2" t="s">
        <v>12</v>
      </c>
      <c r="E1312" s="2" t="s">
        <v>13</v>
      </c>
    </row>
    <row r="1313" spans="1:5" x14ac:dyDescent="0.25">
      <c r="A1313" s="2">
        <v>758</v>
      </c>
      <c r="B1313" s="2">
        <v>18</v>
      </c>
      <c r="C1313" s="8">
        <v>45772</v>
      </c>
      <c r="D1313" s="2" t="s">
        <v>17</v>
      </c>
      <c r="E1313" s="2" t="s">
        <v>16</v>
      </c>
    </row>
    <row r="1314" spans="1:5" x14ac:dyDescent="0.25">
      <c r="A1314" s="2">
        <v>559</v>
      </c>
      <c r="B1314" s="2">
        <v>13</v>
      </c>
      <c r="C1314" s="8">
        <v>45737</v>
      </c>
      <c r="D1314" s="2" t="s">
        <v>15</v>
      </c>
      <c r="E1314" s="2" t="s">
        <v>16</v>
      </c>
    </row>
    <row r="1315" spans="1:5" x14ac:dyDescent="0.25">
      <c r="A1315" s="2">
        <v>904</v>
      </c>
      <c r="B1315" s="2">
        <v>22</v>
      </c>
      <c r="C1315" s="8">
        <v>45798</v>
      </c>
      <c r="D1315" s="2" t="s">
        <v>12</v>
      </c>
      <c r="E1315" s="2" t="s">
        <v>13</v>
      </c>
    </row>
    <row r="1316" spans="1:5" x14ac:dyDescent="0.25">
      <c r="A1316" s="2">
        <v>109</v>
      </c>
      <c r="B1316" s="2">
        <v>3</v>
      </c>
      <c r="C1316" s="8">
        <v>45672</v>
      </c>
      <c r="D1316" s="2" t="s">
        <v>20</v>
      </c>
      <c r="E1316" s="2" t="s">
        <v>13</v>
      </c>
    </row>
    <row r="1317" spans="1:5" x14ac:dyDescent="0.25">
      <c r="A1317" s="2">
        <v>684</v>
      </c>
      <c r="B1317" s="2">
        <v>17</v>
      </c>
      <c r="C1317" s="8">
        <v>45762</v>
      </c>
      <c r="D1317" s="2" t="s">
        <v>20</v>
      </c>
      <c r="E1317" s="2" t="s">
        <v>13</v>
      </c>
    </row>
    <row r="1318" spans="1:5" x14ac:dyDescent="0.25">
      <c r="A1318" s="2">
        <v>1041</v>
      </c>
      <c r="B1318" s="2">
        <v>27</v>
      </c>
      <c r="C1318" s="8">
        <v>45830</v>
      </c>
      <c r="D1318" s="2" t="s">
        <v>12</v>
      </c>
      <c r="E1318" s="2" t="s">
        <v>13</v>
      </c>
    </row>
    <row r="1319" spans="1:5" x14ac:dyDescent="0.25">
      <c r="A1319" s="2">
        <v>883</v>
      </c>
      <c r="B1319" s="2">
        <v>22</v>
      </c>
      <c r="C1319" s="8" t="s">
        <v>37</v>
      </c>
      <c r="D1319" s="2" t="s">
        <v>19</v>
      </c>
      <c r="E1319" s="2" t="s">
        <v>13</v>
      </c>
    </row>
    <row r="1320" spans="1:5" x14ac:dyDescent="0.25">
      <c r="A1320" s="2">
        <v>1922</v>
      </c>
      <c r="B1320" s="2">
        <v>49</v>
      </c>
      <c r="C1320" s="8">
        <v>45956</v>
      </c>
      <c r="D1320" s="2" t="s">
        <v>12</v>
      </c>
      <c r="E1320" s="2" t="s">
        <v>13</v>
      </c>
    </row>
    <row r="1321" spans="1:5" x14ac:dyDescent="0.25">
      <c r="A1321" s="2">
        <v>813</v>
      </c>
      <c r="B1321" s="2">
        <v>20</v>
      </c>
      <c r="C1321" s="8">
        <v>45770</v>
      </c>
      <c r="D1321" s="2" t="s">
        <v>20</v>
      </c>
      <c r="E1321" s="2" t="s">
        <v>18</v>
      </c>
    </row>
    <row r="1322" spans="1:5" x14ac:dyDescent="0.25">
      <c r="A1322" s="2">
        <v>2019</v>
      </c>
      <c r="B1322" s="2">
        <v>53</v>
      </c>
      <c r="C1322" s="8">
        <v>45972</v>
      </c>
      <c r="D1322" s="2" t="s">
        <v>12</v>
      </c>
      <c r="E1322" s="2" t="s">
        <v>16</v>
      </c>
    </row>
    <row r="1323" spans="1:5" x14ac:dyDescent="0.25">
      <c r="A1323" s="2">
        <v>1590</v>
      </c>
      <c r="B1323" s="2">
        <v>42</v>
      </c>
      <c r="C1323" s="8">
        <v>45924</v>
      </c>
      <c r="D1323" s="2" t="s">
        <v>12</v>
      </c>
      <c r="E1323" s="2" t="s">
        <v>18</v>
      </c>
    </row>
    <row r="1324" spans="1:5" x14ac:dyDescent="0.25">
      <c r="A1324" s="2">
        <v>884</v>
      </c>
      <c r="B1324" s="2">
        <v>22</v>
      </c>
      <c r="C1324" s="8">
        <v>45790</v>
      </c>
      <c r="D1324" s="2" t="s">
        <v>20</v>
      </c>
      <c r="E1324" s="2" t="s">
        <v>18</v>
      </c>
    </row>
    <row r="1325" spans="1:5" x14ac:dyDescent="0.25">
      <c r="A1325" s="2">
        <v>726</v>
      </c>
      <c r="B1325" s="2">
        <v>18</v>
      </c>
      <c r="C1325" s="8">
        <v>45757</v>
      </c>
      <c r="D1325" s="2" t="s">
        <v>12</v>
      </c>
      <c r="E1325" s="2" t="s">
        <v>13</v>
      </c>
    </row>
    <row r="1326" spans="1:5" x14ac:dyDescent="0.25">
      <c r="A1326" s="2">
        <v>173</v>
      </c>
      <c r="B1326" s="2">
        <v>3</v>
      </c>
      <c r="C1326" s="8">
        <v>45683</v>
      </c>
      <c r="D1326" s="2" t="s">
        <v>15</v>
      </c>
      <c r="E1326" s="2" t="s">
        <v>16</v>
      </c>
    </row>
    <row r="1327" spans="1:5" x14ac:dyDescent="0.25">
      <c r="A1327" s="2">
        <v>1128</v>
      </c>
      <c r="B1327" s="2">
        <v>28</v>
      </c>
      <c r="C1327" s="8">
        <v>45814</v>
      </c>
      <c r="D1327" s="2" t="s">
        <v>15</v>
      </c>
      <c r="E1327" s="2" t="s">
        <v>16</v>
      </c>
    </row>
    <row r="1328" spans="1:5" x14ac:dyDescent="0.25">
      <c r="A1328" s="2">
        <v>1768</v>
      </c>
      <c r="B1328" s="2">
        <v>46</v>
      </c>
      <c r="C1328" s="8">
        <v>45933</v>
      </c>
      <c r="D1328" s="2" t="s">
        <v>12</v>
      </c>
      <c r="E1328" s="2" t="s">
        <v>16</v>
      </c>
    </row>
    <row r="1329" spans="1:5" x14ac:dyDescent="0.25">
      <c r="A1329" s="2">
        <v>544</v>
      </c>
      <c r="B1329" s="2">
        <v>13</v>
      </c>
      <c r="C1329" s="8">
        <v>45718</v>
      </c>
      <c r="D1329" s="2" t="s">
        <v>15</v>
      </c>
      <c r="E1329" s="2" t="s">
        <v>14</v>
      </c>
    </row>
    <row r="1330" spans="1:5" x14ac:dyDescent="0.25">
      <c r="A1330" s="2">
        <v>1912</v>
      </c>
      <c r="B1330" s="2">
        <v>49</v>
      </c>
      <c r="C1330" s="8">
        <v>45935</v>
      </c>
      <c r="D1330" s="2" t="s">
        <v>12</v>
      </c>
      <c r="E1330" s="2" t="s">
        <v>14</v>
      </c>
    </row>
    <row r="1331" spans="1:5" x14ac:dyDescent="0.25">
      <c r="A1331" s="2">
        <v>1736</v>
      </c>
      <c r="B1331" s="2">
        <v>44</v>
      </c>
      <c r="C1331" s="8">
        <v>45907</v>
      </c>
      <c r="D1331" s="2" t="s">
        <v>20</v>
      </c>
      <c r="E1331" s="2" t="s">
        <v>18</v>
      </c>
    </row>
    <row r="1332" spans="1:5" x14ac:dyDescent="0.25">
      <c r="A1332" s="2">
        <v>1088</v>
      </c>
      <c r="B1332" s="2">
        <v>27</v>
      </c>
      <c r="C1332" s="8">
        <v>45824</v>
      </c>
      <c r="D1332" s="2" t="s">
        <v>12</v>
      </c>
      <c r="E1332" s="2" t="s">
        <v>18</v>
      </c>
    </row>
    <row r="1333" spans="1:5" x14ac:dyDescent="0.25">
      <c r="A1333" s="2">
        <v>976</v>
      </c>
      <c r="B1333" s="2">
        <v>24</v>
      </c>
      <c r="C1333" s="8">
        <v>45805</v>
      </c>
      <c r="D1333" s="2" t="s">
        <v>12</v>
      </c>
      <c r="E1333" s="2" t="s">
        <v>13</v>
      </c>
    </row>
    <row r="1334" spans="1:5" x14ac:dyDescent="0.25">
      <c r="A1334" s="2">
        <v>59</v>
      </c>
      <c r="B1334" s="2">
        <v>2</v>
      </c>
      <c r="C1334" s="8">
        <v>45669</v>
      </c>
      <c r="D1334" s="2" t="s">
        <v>20</v>
      </c>
      <c r="E1334" s="2" t="s">
        <v>16</v>
      </c>
    </row>
    <row r="1335" spans="1:5" x14ac:dyDescent="0.25">
      <c r="A1335" s="2">
        <v>547</v>
      </c>
      <c r="B1335" s="2">
        <v>13</v>
      </c>
      <c r="C1335" s="8">
        <v>45731</v>
      </c>
      <c r="D1335" s="2" t="s">
        <v>12</v>
      </c>
      <c r="E1335" s="2" t="s">
        <v>13</v>
      </c>
    </row>
    <row r="1336" spans="1:5" x14ac:dyDescent="0.25">
      <c r="A1336" s="2">
        <v>384</v>
      </c>
      <c r="B1336" s="2">
        <v>9</v>
      </c>
      <c r="C1336" s="8">
        <v>45699</v>
      </c>
      <c r="D1336" s="2" t="s">
        <v>19</v>
      </c>
      <c r="E1336" s="2" t="s">
        <v>18</v>
      </c>
    </row>
    <row r="1337" spans="1:5" x14ac:dyDescent="0.25">
      <c r="A1337" s="2">
        <v>1421</v>
      </c>
      <c r="B1337" s="2">
        <v>37</v>
      </c>
      <c r="C1337" s="8">
        <v>45889</v>
      </c>
      <c r="D1337" s="2" t="s">
        <v>12</v>
      </c>
      <c r="E1337" s="2" t="s">
        <v>13</v>
      </c>
    </row>
    <row r="1338" spans="1:5" x14ac:dyDescent="0.25">
      <c r="A1338" s="2">
        <v>1959</v>
      </c>
      <c r="B1338" s="2">
        <v>51</v>
      </c>
      <c r="C1338" s="8">
        <v>45978</v>
      </c>
      <c r="D1338" s="2" t="s">
        <v>15</v>
      </c>
      <c r="E1338" s="2" t="s">
        <v>16</v>
      </c>
    </row>
    <row r="1339" spans="1:5" x14ac:dyDescent="0.25">
      <c r="A1339" s="2">
        <v>1765</v>
      </c>
      <c r="B1339" s="2">
        <v>46</v>
      </c>
      <c r="C1339" s="8">
        <v>45938</v>
      </c>
      <c r="D1339" s="2" t="s">
        <v>12</v>
      </c>
      <c r="E1339" s="2" t="s">
        <v>18</v>
      </c>
    </row>
    <row r="1340" spans="1:5" x14ac:dyDescent="0.25">
      <c r="A1340" s="2">
        <v>226</v>
      </c>
      <c r="B1340" s="2">
        <v>6</v>
      </c>
      <c r="C1340" s="8">
        <v>45713</v>
      </c>
      <c r="D1340" s="2" t="s">
        <v>20</v>
      </c>
      <c r="E1340" s="2" t="s">
        <v>16</v>
      </c>
    </row>
    <row r="1341" spans="1:5" x14ac:dyDescent="0.25">
      <c r="A1341" s="2">
        <v>1699</v>
      </c>
      <c r="B1341" s="2">
        <v>43</v>
      </c>
      <c r="C1341" s="8">
        <v>45912</v>
      </c>
      <c r="D1341" s="2" t="s">
        <v>12</v>
      </c>
      <c r="E1341" s="2" t="s">
        <v>13</v>
      </c>
    </row>
    <row r="1342" spans="1:5" x14ac:dyDescent="0.25">
      <c r="A1342" s="2">
        <v>945</v>
      </c>
      <c r="B1342" s="2">
        <v>23</v>
      </c>
      <c r="C1342" s="8">
        <v>45786</v>
      </c>
      <c r="D1342" s="2" t="s">
        <v>12</v>
      </c>
      <c r="E1342" s="2" t="s">
        <v>13</v>
      </c>
    </row>
    <row r="1343" spans="1:5" x14ac:dyDescent="0.25">
      <c r="A1343" s="2">
        <v>302</v>
      </c>
      <c r="B1343" s="2">
        <v>7</v>
      </c>
      <c r="C1343" s="8">
        <v>45695</v>
      </c>
      <c r="D1343" s="2" t="s">
        <v>15</v>
      </c>
      <c r="E1343" s="2" t="s">
        <v>16</v>
      </c>
    </row>
    <row r="1344" spans="1:5" x14ac:dyDescent="0.25">
      <c r="A1344" s="2">
        <v>210</v>
      </c>
      <c r="B1344" s="2">
        <v>4</v>
      </c>
      <c r="C1344" s="8">
        <v>45683</v>
      </c>
      <c r="D1344" s="2" t="s">
        <v>17</v>
      </c>
      <c r="E1344" s="2" t="s">
        <v>13</v>
      </c>
    </row>
    <row r="1345" spans="1:5" x14ac:dyDescent="0.25">
      <c r="A1345" s="2">
        <v>1328</v>
      </c>
      <c r="B1345" s="2">
        <v>33</v>
      </c>
      <c r="C1345" s="8">
        <v>45853</v>
      </c>
      <c r="D1345" s="2" t="s">
        <v>17</v>
      </c>
      <c r="E1345" s="2" t="s">
        <v>16</v>
      </c>
    </row>
    <row r="1346" spans="1:5" x14ac:dyDescent="0.25">
      <c r="A1346" s="2">
        <v>1183</v>
      </c>
      <c r="B1346" s="2">
        <v>30</v>
      </c>
      <c r="C1346" s="8">
        <v>45815</v>
      </c>
      <c r="D1346" s="2" t="s">
        <v>12</v>
      </c>
      <c r="E1346" s="2" t="s">
        <v>16</v>
      </c>
    </row>
    <row r="1347" spans="1:5" x14ac:dyDescent="0.25">
      <c r="A1347" s="2">
        <v>1821</v>
      </c>
      <c r="B1347" s="2">
        <v>47</v>
      </c>
      <c r="C1347" s="8">
        <v>45934</v>
      </c>
      <c r="D1347" s="2" t="s">
        <v>20</v>
      </c>
      <c r="E1347" s="2" t="s">
        <v>16</v>
      </c>
    </row>
    <row r="1348" spans="1:5" x14ac:dyDescent="0.25">
      <c r="A1348" s="2">
        <v>2016</v>
      </c>
      <c r="B1348" s="2">
        <v>53</v>
      </c>
      <c r="C1348" s="8">
        <v>45985</v>
      </c>
      <c r="D1348" s="2" t="s">
        <v>20</v>
      </c>
      <c r="E1348" s="2" t="s">
        <v>18</v>
      </c>
    </row>
    <row r="1349" spans="1:5" x14ac:dyDescent="0.25">
      <c r="A1349" s="2">
        <v>2051</v>
      </c>
      <c r="B1349" s="2">
        <v>54</v>
      </c>
      <c r="C1349" s="8">
        <v>45979</v>
      </c>
      <c r="D1349" s="2" t="s">
        <v>15</v>
      </c>
      <c r="E1349" s="2" t="s">
        <v>18</v>
      </c>
    </row>
    <row r="1350" spans="1:5" x14ac:dyDescent="0.25">
      <c r="A1350" s="2">
        <v>1526</v>
      </c>
      <c r="B1350" s="2">
        <v>39</v>
      </c>
      <c r="C1350" s="8">
        <v>45872</v>
      </c>
      <c r="D1350" s="2" t="s">
        <v>19</v>
      </c>
      <c r="E1350" s="2" t="s">
        <v>13</v>
      </c>
    </row>
    <row r="1351" spans="1:5" x14ac:dyDescent="0.25">
      <c r="A1351" s="2">
        <v>141</v>
      </c>
      <c r="B1351" s="2">
        <v>3</v>
      </c>
      <c r="C1351" s="8">
        <v>45671</v>
      </c>
      <c r="D1351" s="2" t="s">
        <v>12</v>
      </c>
      <c r="E1351" s="2" t="s">
        <v>13</v>
      </c>
    </row>
    <row r="1352" spans="1:5" x14ac:dyDescent="0.25">
      <c r="A1352" s="2">
        <v>1817</v>
      </c>
      <c r="B1352" s="2">
        <v>47</v>
      </c>
      <c r="C1352" s="8">
        <v>45935</v>
      </c>
      <c r="D1352" s="2" t="s">
        <v>12</v>
      </c>
      <c r="E1352" s="2" t="s">
        <v>16</v>
      </c>
    </row>
    <row r="1353" spans="1:5" x14ac:dyDescent="0.25">
      <c r="A1353" s="2">
        <v>1471</v>
      </c>
      <c r="B1353" s="2">
        <v>38</v>
      </c>
      <c r="C1353" s="8">
        <v>45893</v>
      </c>
      <c r="D1353" s="2" t="s">
        <v>20</v>
      </c>
      <c r="E1353" s="2" t="s">
        <v>14</v>
      </c>
    </row>
    <row r="1354" spans="1:5" x14ac:dyDescent="0.25">
      <c r="A1354" s="2">
        <v>416</v>
      </c>
      <c r="B1354" s="2">
        <v>10</v>
      </c>
      <c r="C1354" s="8">
        <v>45704</v>
      </c>
      <c r="D1354" s="2" t="s">
        <v>20</v>
      </c>
      <c r="E1354" s="2" t="s">
        <v>13</v>
      </c>
    </row>
    <row r="1355" spans="1:5" x14ac:dyDescent="0.25">
      <c r="A1355" s="2">
        <v>1052</v>
      </c>
      <c r="B1355" s="2">
        <v>27</v>
      </c>
      <c r="C1355" s="8">
        <v>45816</v>
      </c>
      <c r="D1355" s="2" t="s">
        <v>20</v>
      </c>
      <c r="E1355" s="2" t="s">
        <v>13</v>
      </c>
    </row>
    <row r="1356" spans="1:5" x14ac:dyDescent="0.25">
      <c r="A1356" s="2">
        <v>1882</v>
      </c>
      <c r="B1356" s="2">
        <v>48</v>
      </c>
      <c r="C1356" s="8">
        <v>45944</v>
      </c>
      <c r="D1356" s="2" t="s">
        <v>15</v>
      </c>
      <c r="E1356" s="2" t="s">
        <v>16</v>
      </c>
    </row>
    <row r="1357" spans="1:5" x14ac:dyDescent="0.25">
      <c r="A1357" s="2">
        <v>927</v>
      </c>
      <c r="B1357" s="2">
        <v>23</v>
      </c>
      <c r="C1357" s="8">
        <v>45794</v>
      </c>
      <c r="D1357" s="2" t="s">
        <v>20</v>
      </c>
      <c r="E1357" s="2" t="s">
        <v>16</v>
      </c>
    </row>
    <row r="1358" spans="1:5" x14ac:dyDescent="0.25">
      <c r="A1358" s="2">
        <v>1534</v>
      </c>
      <c r="B1358" s="2">
        <v>39</v>
      </c>
      <c r="C1358" s="8">
        <v>45884</v>
      </c>
      <c r="D1358" s="2" t="s">
        <v>20</v>
      </c>
      <c r="E1358" s="2" t="s">
        <v>13</v>
      </c>
    </row>
    <row r="1359" spans="1:5" x14ac:dyDescent="0.25">
      <c r="A1359" s="2">
        <v>745</v>
      </c>
      <c r="B1359" s="2">
        <v>18</v>
      </c>
      <c r="C1359" s="8">
        <v>45761</v>
      </c>
      <c r="D1359" s="2" t="s">
        <v>20</v>
      </c>
      <c r="E1359" s="2" t="s">
        <v>18</v>
      </c>
    </row>
    <row r="1360" spans="1:5" x14ac:dyDescent="0.25">
      <c r="A1360" s="2">
        <v>449</v>
      </c>
      <c r="B1360" s="2">
        <v>11</v>
      </c>
      <c r="C1360" s="8">
        <v>45726</v>
      </c>
      <c r="D1360" s="2" t="s">
        <v>20</v>
      </c>
      <c r="E1360" s="2" t="s">
        <v>13</v>
      </c>
    </row>
    <row r="1361" spans="1:5" x14ac:dyDescent="0.25">
      <c r="A1361" s="2">
        <v>267</v>
      </c>
      <c r="B1361" s="2">
        <v>7</v>
      </c>
      <c r="C1361" s="8">
        <v>45693</v>
      </c>
      <c r="D1361" s="2" t="s">
        <v>20</v>
      </c>
      <c r="E1361" s="2" t="s">
        <v>13</v>
      </c>
    </row>
    <row r="1362" spans="1:5" x14ac:dyDescent="0.25">
      <c r="A1362" s="2">
        <v>217</v>
      </c>
      <c r="B1362" s="2">
        <v>5</v>
      </c>
      <c r="C1362" s="8">
        <v>45677</v>
      </c>
      <c r="D1362" s="2" t="s">
        <v>12</v>
      </c>
      <c r="E1362" s="2" t="s">
        <v>14</v>
      </c>
    </row>
    <row r="1363" spans="1:5" x14ac:dyDescent="0.25">
      <c r="A1363" s="2">
        <v>1034</v>
      </c>
      <c r="B1363" s="2">
        <v>27</v>
      </c>
      <c r="C1363" s="8">
        <v>45827</v>
      </c>
      <c r="D1363" s="2" t="s">
        <v>20</v>
      </c>
      <c r="E1363" s="2" t="s">
        <v>18</v>
      </c>
    </row>
    <row r="1364" spans="1:5" x14ac:dyDescent="0.25">
      <c r="A1364" s="2">
        <v>316</v>
      </c>
      <c r="B1364" s="2">
        <v>8</v>
      </c>
      <c r="C1364" s="8">
        <v>45696</v>
      </c>
      <c r="D1364" s="2" t="s">
        <v>19</v>
      </c>
      <c r="E1364" s="2" t="s">
        <v>14</v>
      </c>
    </row>
    <row r="1365" spans="1:5" x14ac:dyDescent="0.25">
      <c r="A1365" s="2">
        <v>1343</v>
      </c>
      <c r="B1365" s="2">
        <v>33</v>
      </c>
      <c r="C1365" s="8">
        <v>45856</v>
      </c>
      <c r="D1365" s="2" t="s">
        <v>12</v>
      </c>
      <c r="E1365" s="2" t="s">
        <v>13</v>
      </c>
    </row>
    <row r="1366" spans="1:5" x14ac:dyDescent="0.25">
      <c r="A1366" s="2">
        <v>1734</v>
      </c>
      <c r="B1366" s="2">
        <v>44</v>
      </c>
      <c r="C1366" s="8">
        <v>45910</v>
      </c>
      <c r="D1366" s="2" t="s">
        <v>19</v>
      </c>
      <c r="E1366" s="2" t="s">
        <v>16</v>
      </c>
    </row>
    <row r="1367" spans="1:5" x14ac:dyDescent="0.25">
      <c r="A1367" s="2">
        <v>1599</v>
      </c>
      <c r="B1367" s="2">
        <v>42</v>
      </c>
      <c r="C1367" s="8">
        <v>45928</v>
      </c>
      <c r="D1367" s="2" t="s">
        <v>20</v>
      </c>
      <c r="E1367" s="2" t="s">
        <v>13</v>
      </c>
    </row>
    <row r="1368" spans="1:5" x14ac:dyDescent="0.25">
      <c r="A1368" s="2">
        <v>1468</v>
      </c>
      <c r="B1368" s="2">
        <v>38</v>
      </c>
      <c r="C1368" s="8">
        <v>45878</v>
      </c>
      <c r="D1368" s="2" t="s">
        <v>12</v>
      </c>
      <c r="E1368" s="2" t="s">
        <v>18</v>
      </c>
    </row>
    <row r="1369" spans="1:5" x14ac:dyDescent="0.25">
      <c r="A1369" s="2">
        <v>1053</v>
      </c>
      <c r="B1369" s="2">
        <v>27</v>
      </c>
      <c r="C1369" s="8">
        <v>45831</v>
      </c>
      <c r="D1369" s="2" t="s">
        <v>15</v>
      </c>
      <c r="E1369" s="2" t="s">
        <v>18</v>
      </c>
    </row>
    <row r="1370" spans="1:5" x14ac:dyDescent="0.25">
      <c r="A1370" s="2">
        <v>1428</v>
      </c>
      <c r="B1370" s="2">
        <v>37</v>
      </c>
      <c r="C1370" s="8">
        <v>45886</v>
      </c>
      <c r="D1370" s="2" t="s">
        <v>12</v>
      </c>
      <c r="E1370" s="2" t="s">
        <v>13</v>
      </c>
    </row>
    <row r="1371" spans="1:5" x14ac:dyDescent="0.25">
      <c r="A1371" s="2">
        <v>1210</v>
      </c>
      <c r="B1371" s="2">
        <v>31</v>
      </c>
      <c r="C1371" s="8" t="s">
        <v>38</v>
      </c>
      <c r="D1371" s="2" t="s">
        <v>12</v>
      </c>
      <c r="E1371" s="2" t="s">
        <v>14</v>
      </c>
    </row>
    <row r="1372" spans="1:5" x14ac:dyDescent="0.25">
      <c r="A1372" s="2">
        <v>428</v>
      </c>
      <c r="B1372" s="2">
        <v>10</v>
      </c>
      <c r="C1372" s="8">
        <v>45690</v>
      </c>
      <c r="D1372" s="2" t="s">
        <v>15</v>
      </c>
      <c r="E1372" s="2" t="s">
        <v>13</v>
      </c>
    </row>
    <row r="1373" spans="1:5" x14ac:dyDescent="0.25">
      <c r="A1373" s="2">
        <v>698</v>
      </c>
      <c r="B1373" s="2">
        <v>18</v>
      </c>
      <c r="C1373" s="8">
        <v>45773</v>
      </c>
      <c r="D1373" s="2" t="s">
        <v>12</v>
      </c>
      <c r="E1373" s="2" t="s">
        <v>18</v>
      </c>
    </row>
    <row r="1374" spans="1:5" x14ac:dyDescent="0.25">
      <c r="A1374" s="2">
        <v>215</v>
      </c>
      <c r="B1374" s="2">
        <v>4</v>
      </c>
      <c r="C1374" s="8">
        <v>45685</v>
      </c>
      <c r="D1374" s="2" t="s">
        <v>12</v>
      </c>
      <c r="E1374" s="2" t="s">
        <v>13</v>
      </c>
    </row>
    <row r="1375" spans="1:5" x14ac:dyDescent="0.25">
      <c r="A1375" s="2">
        <v>999</v>
      </c>
      <c r="B1375" s="2">
        <v>26</v>
      </c>
      <c r="C1375" s="8">
        <v>45821</v>
      </c>
      <c r="D1375" s="2" t="s">
        <v>19</v>
      </c>
      <c r="E1375" s="2" t="s">
        <v>13</v>
      </c>
    </row>
    <row r="1376" spans="1:5" x14ac:dyDescent="0.25">
      <c r="A1376" s="2">
        <v>1944</v>
      </c>
      <c r="B1376" s="2">
        <v>50</v>
      </c>
      <c r="C1376" s="8">
        <v>45947</v>
      </c>
      <c r="D1376" s="2" t="s">
        <v>12</v>
      </c>
      <c r="E1376" s="2" t="s">
        <v>18</v>
      </c>
    </row>
    <row r="1377" spans="1:5" x14ac:dyDescent="0.25">
      <c r="A1377" s="2">
        <v>789</v>
      </c>
      <c r="B1377" s="2">
        <v>19</v>
      </c>
      <c r="C1377" s="8">
        <v>45761</v>
      </c>
      <c r="D1377" s="2" t="s">
        <v>20</v>
      </c>
      <c r="E1377" s="2" t="s">
        <v>18</v>
      </c>
    </row>
    <row r="1378" spans="1:5" x14ac:dyDescent="0.25">
      <c r="A1378" s="2">
        <v>959</v>
      </c>
      <c r="B1378" s="2">
        <v>23</v>
      </c>
      <c r="C1378" s="8">
        <v>45783</v>
      </c>
      <c r="D1378" s="2" t="s">
        <v>17</v>
      </c>
      <c r="E1378" s="2" t="s">
        <v>16</v>
      </c>
    </row>
    <row r="1379" spans="1:5" x14ac:dyDescent="0.25">
      <c r="A1379" s="2">
        <v>1639</v>
      </c>
      <c r="B1379" s="2">
        <v>43</v>
      </c>
      <c r="C1379" s="8">
        <v>45904</v>
      </c>
      <c r="D1379" s="2" t="s">
        <v>12</v>
      </c>
      <c r="E1379" s="2" t="s">
        <v>16</v>
      </c>
    </row>
    <row r="1380" spans="1:5" x14ac:dyDescent="0.25">
      <c r="A1380" s="2">
        <v>1374</v>
      </c>
      <c r="B1380" s="2">
        <v>34</v>
      </c>
      <c r="C1380" s="8">
        <v>45846</v>
      </c>
      <c r="D1380" s="2" t="s">
        <v>17</v>
      </c>
      <c r="E1380" s="2" t="s">
        <v>16</v>
      </c>
    </row>
    <row r="1381" spans="1:5" x14ac:dyDescent="0.25">
      <c r="A1381" s="2">
        <v>27</v>
      </c>
      <c r="B1381" s="2">
        <v>1</v>
      </c>
      <c r="C1381" s="8">
        <v>45682</v>
      </c>
      <c r="D1381" s="2" t="s">
        <v>12</v>
      </c>
      <c r="E1381" s="2" t="s">
        <v>16</v>
      </c>
    </row>
    <row r="1382" spans="1:5" x14ac:dyDescent="0.25">
      <c r="A1382" s="2">
        <v>436</v>
      </c>
      <c r="B1382" s="2">
        <v>10</v>
      </c>
      <c r="C1382" s="8">
        <v>45694</v>
      </c>
      <c r="D1382" s="2" t="s">
        <v>12</v>
      </c>
      <c r="E1382" s="2" t="s">
        <v>18</v>
      </c>
    </row>
    <row r="1383" spans="1:5" x14ac:dyDescent="0.25">
      <c r="A1383" s="2">
        <v>124</v>
      </c>
      <c r="B1383" s="2">
        <v>3</v>
      </c>
      <c r="C1383" s="8">
        <v>45682</v>
      </c>
      <c r="D1383" s="2" t="s">
        <v>12</v>
      </c>
      <c r="E1383" s="2" t="s">
        <v>16</v>
      </c>
    </row>
    <row r="1384" spans="1:5" x14ac:dyDescent="0.25">
      <c r="A1384" s="2">
        <v>1692</v>
      </c>
      <c r="B1384" s="2">
        <v>43</v>
      </c>
      <c r="C1384" s="8">
        <v>45927</v>
      </c>
      <c r="D1384" s="2" t="s">
        <v>12</v>
      </c>
      <c r="E1384" s="2" t="s">
        <v>18</v>
      </c>
    </row>
    <row r="1385" spans="1:5" x14ac:dyDescent="0.25">
      <c r="A1385" s="2">
        <v>1431</v>
      </c>
      <c r="B1385" s="2">
        <v>37</v>
      </c>
      <c r="C1385" s="8">
        <v>45876</v>
      </c>
      <c r="D1385" s="2" t="s">
        <v>15</v>
      </c>
      <c r="E1385" s="2" t="s">
        <v>18</v>
      </c>
    </row>
    <row r="1386" spans="1:5" x14ac:dyDescent="0.25">
      <c r="A1386" s="2">
        <v>1990</v>
      </c>
      <c r="B1386" s="2">
        <v>52</v>
      </c>
      <c r="C1386" s="8">
        <v>45975</v>
      </c>
      <c r="D1386" s="2" t="s">
        <v>12</v>
      </c>
      <c r="E1386" s="2" t="s">
        <v>16</v>
      </c>
    </row>
    <row r="1387" spans="1:5" x14ac:dyDescent="0.25">
      <c r="A1387" s="2">
        <v>1597</v>
      </c>
      <c r="B1387" s="2">
        <v>42</v>
      </c>
      <c r="C1387" s="8">
        <v>45910</v>
      </c>
      <c r="D1387" s="2" t="s">
        <v>20</v>
      </c>
      <c r="E1387" s="2" t="s">
        <v>18</v>
      </c>
    </row>
    <row r="1388" spans="1:5" x14ac:dyDescent="0.25">
      <c r="A1388" s="2">
        <v>1326</v>
      </c>
      <c r="B1388" s="2">
        <v>33</v>
      </c>
      <c r="C1388" s="8">
        <v>45854</v>
      </c>
      <c r="D1388" s="2" t="s">
        <v>12</v>
      </c>
      <c r="E1388" s="2" t="s">
        <v>18</v>
      </c>
    </row>
    <row r="1389" spans="1:5" x14ac:dyDescent="0.25">
      <c r="A1389" s="2">
        <v>1666</v>
      </c>
      <c r="B1389" s="2">
        <v>43</v>
      </c>
      <c r="C1389" s="8">
        <v>45911</v>
      </c>
      <c r="D1389" s="2" t="s">
        <v>15</v>
      </c>
      <c r="E1389" s="2" t="s">
        <v>13</v>
      </c>
    </row>
    <row r="1390" spans="1:5" x14ac:dyDescent="0.25">
      <c r="A1390" s="2">
        <v>497</v>
      </c>
      <c r="B1390" s="2">
        <v>12</v>
      </c>
      <c r="C1390" s="8">
        <v>45726</v>
      </c>
      <c r="D1390" s="2" t="s">
        <v>12</v>
      </c>
      <c r="E1390" s="2" t="s">
        <v>18</v>
      </c>
    </row>
    <row r="1391" spans="1:5" x14ac:dyDescent="0.25">
      <c r="A1391" s="2">
        <v>1144</v>
      </c>
      <c r="B1391" s="2">
        <v>28</v>
      </c>
      <c r="C1391" s="8">
        <v>45811</v>
      </c>
      <c r="D1391" s="2" t="s">
        <v>20</v>
      </c>
      <c r="E1391" s="2" t="s">
        <v>13</v>
      </c>
    </row>
    <row r="1392" spans="1:5" x14ac:dyDescent="0.25">
      <c r="A1392" s="2">
        <v>1580</v>
      </c>
      <c r="B1392" s="2">
        <v>41</v>
      </c>
      <c r="C1392" s="8">
        <v>45923</v>
      </c>
      <c r="D1392" s="2" t="s">
        <v>12</v>
      </c>
      <c r="E1392" s="2" t="s">
        <v>18</v>
      </c>
    </row>
    <row r="1393" spans="1:5" x14ac:dyDescent="0.25">
      <c r="A1393" s="2">
        <v>1710</v>
      </c>
      <c r="B1393" s="2">
        <v>44</v>
      </c>
      <c r="C1393" s="8">
        <v>45922</v>
      </c>
      <c r="D1393" s="2" t="s">
        <v>12</v>
      </c>
      <c r="E1393" s="2" t="s">
        <v>16</v>
      </c>
    </row>
    <row r="1394" spans="1:5" x14ac:dyDescent="0.25">
      <c r="A1394" s="2">
        <v>607</v>
      </c>
      <c r="B1394" s="2">
        <v>14</v>
      </c>
      <c r="C1394" s="8" t="s">
        <v>25</v>
      </c>
      <c r="D1394" s="2" t="s">
        <v>20</v>
      </c>
      <c r="E1394" s="2" t="s">
        <v>18</v>
      </c>
    </row>
    <row r="1395" spans="1:5" x14ac:dyDescent="0.25">
      <c r="A1395" s="2">
        <v>2087</v>
      </c>
      <c r="B1395" s="2">
        <v>57</v>
      </c>
      <c r="C1395" s="8">
        <v>45993</v>
      </c>
      <c r="D1395" s="2" t="s">
        <v>19</v>
      </c>
      <c r="E1395" s="2" t="s">
        <v>18</v>
      </c>
    </row>
    <row r="1396" spans="1:5" x14ac:dyDescent="0.25">
      <c r="A1396" s="2">
        <v>1964</v>
      </c>
      <c r="B1396" s="2">
        <v>51</v>
      </c>
      <c r="C1396" s="8">
        <v>45983</v>
      </c>
      <c r="D1396" s="2" t="s">
        <v>20</v>
      </c>
      <c r="E1396" s="2" t="s">
        <v>18</v>
      </c>
    </row>
    <row r="1397" spans="1:5" x14ac:dyDescent="0.25">
      <c r="A1397" s="2">
        <v>463</v>
      </c>
      <c r="B1397" s="2">
        <v>12</v>
      </c>
      <c r="C1397" s="8">
        <v>45729</v>
      </c>
      <c r="D1397" s="2" t="s">
        <v>20</v>
      </c>
      <c r="E1397" s="2" t="s">
        <v>16</v>
      </c>
    </row>
    <row r="1398" spans="1:5" x14ac:dyDescent="0.25">
      <c r="A1398" s="2">
        <v>989</v>
      </c>
      <c r="B1398" s="2">
        <v>25</v>
      </c>
      <c r="C1398" s="8">
        <v>45792</v>
      </c>
      <c r="D1398" s="2" t="s">
        <v>15</v>
      </c>
      <c r="E1398" s="2" t="s">
        <v>13</v>
      </c>
    </row>
    <row r="1399" spans="1:5" x14ac:dyDescent="0.25">
      <c r="A1399" s="2">
        <v>660</v>
      </c>
      <c r="B1399" s="2">
        <v>17</v>
      </c>
      <c r="C1399" s="8">
        <v>45753</v>
      </c>
      <c r="D1399" s="2" t="s">
        <v>12</v>
      </c>
      <c r="E1399" s="2" t="s">
        <v>16</v>
      </c>
    </row>
    <row r="1400" spans="1:5" x14ac:dyDescent="0.25">
      <c r="A1400" s="2">
        <v>575</v>
      </c>
      <c r="B1400" s="2">
        <v>13</v>
      </c>
      <c r="C1400" s="8">
        <v>45726</v>
      </c>
      <c r="D1400" s="2" t="s">
        <v>12</v>
      </c>
      <c r="E1400" s="2" t="s">
        <v>13</v>
      </c>
    </row>
    <row r="1401" spans="1:5" x14ac:dyDescent="0.25">
      <c r="A1401" s="2">
        <v>1004</v>
      </c>
      <c r="B1401" s="2">
        <v>26</v>
      </c>
      <c r="C1401" s="8">
        <v>45824</v>
      </c>
      <c r="D1401" s="2" t="s">
        <v>12</v>
      </c>
      <c r="E1401" s="2" t="s">
        <v>14</v>
      </c>
    </row>
    <row r="1402" spans="1:5" x14ac:dyDescent="0.25">
      <c r="A1402" s="2">
        <v>1355</v>
      </c>
      <c r="B1402" s="2">
        <v>34</v>
      </c>
      <c r="C1402" s="8">
        <v>45854</v>
      </c>
      <c r="D1402" s="2" t="s">
        <v>20</v>
      </c>
      <c r="E1402" s="2" t="s">
        <v>16</v>
      </c>
    </row>
    <row r="1403" spans="1:5" x14ac:dyDescent="0.25">
      <c r="A1403" s="2">
        <v>979</v>
      </c>
      <c r="B1403" s="2">
        <v>24</v>
      </c>
      <c r="C1403" s="8">
        <v>45787</v>
      </c>
      <c r="D1403" s="2" t="s">
        <v>12</v>
      </c>
      <c r="E1403" s="2" t="s">
        <v>18</v>
      </c>
    </row>
    <row r="1404" spans="1:5" x14ac:dyDescent="0.25">
      <c r="A1404" s="2">
        <v>1786</v>
      </c>
      <c r="B1404" s="2">
        <v>46</v>
      </c>
      <c r="C1404" s="8">
        <v>45935</v>
      </c>
      <c r="D1404" s="2" t="s">
        <v>12</v>
      </c>
      <c r="E1404" s="2" t="s">
        <v>16</v>
      </c>
    </row>
    <row r="1405" spans="1:5" x14ac:dyDescent="0.25">
      <c r="A1405" s="2">
        <v>493</v>
      </c>
      <c r="B1405" s="2">
        <v>12</v>
      </c>
      <c r="C1405" s="8">
        <v>45736</v>
      </c>
      <c r="D1405" s="2" t="s">
        <v>15</v>
      </c>
      <c r="E1405" s="2" t="s">
        <v>16</v>
      </c>
    </row>
    <row r="1406" spans="1:5" x14ac:dyDescent="0.25">
      <c r="A1406" s="2">
        <v>1484</v>
      </c>
      <c r="B1406" s="2">
        <v>38</v>
      </c>
      <c r="C1406" s="8">
        <v>45886</v>
      </c>
      <c r="D1406" s="2" t="s">
        <v>12</v>
      </c>
      <c r="E1406" s="2" t="s">
        <v>14</v>
      </c>
    </row>
    <row r="1407" spans="1:5" x14ac:dyDescent="0.25">
      <c r="A1407" s="2">
        <v>1652</v>
      </c>
      <c r="B1407" s="2">
        <v>43</v>
      </c>
      <c r="C1407" s="8">
        <v>45917</v>
      </c>
      <c r="D1407" s="2" t="s">
        <v>12</v>
      </c>
      <c r="E1407" s="2" t="s">
        <v>18</v>
      </c>
    </row>
    <row r="1408" spans="1:5" x14ac:dyDescent="0.25">
      <c r="A1408" s="2">
        <v>1548</v>
      </c>
      <c r="B1408" s="2">
        <v>40</v>
      </c>
      <c r="C1408" s="8">
        <v>45877</v>
      </c>
      <c r="D1408" s="2" t="s">
        <v>12</v>
      </c>
      <c r="E1408" s="2" t="s">
        <v>18</v>
      </c>
    </row>
    <row r="1409" spans="1:5" x14ac:dyDescent="0.25">
      <c r="A1409" s="2">
        <v>1369</v>
      </c>
      <c r="B1409" s="2">
        <v>34</v>
      </c>
      <c r="C1409" s="8">
        <v>45849</v>
      </c>
      <c r="D1409" s="2" t="s">
        <v>20</v>
      </c>
      <c r="E1409" s="2" t="s">
        <v>18</v>
      </c>
    </row>
    <row r="1410" spans="1:5" x14ac:dyDescent="0.25">
      <c r="A1410" s="2">
        <v>916</v>
      </c>
      <c r="B1410" s="2">
        <v>23</v>
      </c>
      <c r="C1410" s="8">
        <v>45803</v>
      </c>
      <c r="D1410" s="2" t="s">
        <v>12</v>
      </c>
      <c r="E1410" s="2" t="s">
        <v>18</v>
      </c>
    </row>
    <row r="1411" spans="1:5" x14ac:dyDescent="0.25">
      <c r="A1411" s="2">
        <v>1305</v>
      </c>
      <c r="B1411" s="2">
        <v>33</v>
      </c>
      <c r="C1411" s="8">
        <v>45840</v>
      </c>
      <c r="D1411" s="2" t="s">
        <v>20</v>
      </c>
      <c r="E1411" s="2" t="s">
        <v>13</v>
      </c>
    </row>
    <row r="1412" spans="1:5" x14ac:dyDescent="0.25">
      <c r="A1412" s="2">
        <v>847</v>
      </c>
      <c r="B1412" s="2">
        <v>21</v>
      </c>
      <c r="C1412" s="8">
        <v>45803</v>
      </c>
      <c r="D1412" s="2" t="s">
        <v>12</v>
      </c>
      <c r="E1412" s="2" t="s">
        <v>16</v>
      </c>
    </row>
    <row r="1413" spans="1:5" x14ac:dyDescent="0.25">
      <c r="A1413" s="2">
        <v>1197</v>
      </c>
      <c r="B1413" s="2">
        <v>30</v>
      </c>
      <c r="C1413" s="8">
        <v>45811</v>
      </c>
      <c r="D1413" s="2" t="s">
        <v>20</v>
      </c>
      <c r="E1413" s="2" t="s">
        <v>16</v>
      </c>
    </row>
    <row r="1414" spans="1:5" x14ac:dyDescent="0.25">
      <c r="A1414" s="2">
        <v>304</v>
      </c>
      <c r="B1414" s="2">
        <v>7</v>
      </c>
      <c r="C1414" s="8">
        <v>45701</v>
      </c>
      <c r="D1414" s="2" t="s">
        <v>19</v>
      </c>
      <c r="E1414" s="2" t="s">
        <v>16</v>
      </c>
    </row>
    <row r="1415" spans="1:5" x14ac:dyDescent="0.25">
      <c r="A1415" s="2">
        <v>654</v>
      </c>
      <c r="B1415" s="2">
        <v>17</v>
      </c>
      <c r="C1415" s="8">
        <v>45758</v>
      </c>
      <c r="D1415" s="2" t="s">
        <v>15</v>
      </c>
      <c r="E1415" s="2" t="s">
        <v>18</v>
      </c>
    </row>
    <row r="1416" spans="1:5" x14ac:dyDescent="0.25">
      <c r="A1416" s="2">
        <v>1770</v>
      </c>
      <c r="B1416" s="2">
        <v>46</v>
      </c>
      <c r="C1416" s="8">
        <v>45945</v>
      </c>
      <c r="D1416" s="2" t="s">
        <v>20</v>
      </c>
      <c r="E1416" s="2" t="s">
        <v>16</v>
      </c>
    </row>
    <row r="1417" spans="1:5" x14ac:dyDescent="0.25">
      <c r="A1417" s="2">
        <v>246</v>
      </c>
      <c r="B1417" s="2">
        <v>6</v>
      </c>
      <c r="C1417" s="8">
        <v>45709</v>
      </c>
      <c r="D1417" s="2" t="s">
        <v>20</v>
      </c>
      <c r="E1417" s="2" t="s">
        <v>14</v>
      </c>
    </row>
    <row r="1418" spans="1:5" x14ac:dyDescent="0.25">
      <c r="A1418" s="2">
        <v>944</v>
      </c>
      <c r="B1418" s="2">
        <v>23</v>
      </c>
      <c r="C1418" s="8">
        <v>45792</v>
      </c>
      <c r="D1418" s="2" t="s">
        <v>15</v>
      </c>
      <c r="E1418" s="2" t="s">
        <v>18</v>
      </c>
    </row>
    <row r="1419" spans="1:5" x14ac:dyDescent="0.25">
      <c r="A1419" s="2">
        <v>1195</v>
      </c>
      <c r="B1419" s="2">
        <v>30</v>
      </c>
      <c r="C1419" s="8">
        <v>45820</v>
      </c>
      <c r="D1419" s="2" t="s">
        <v>12</v>
      </c>
      <c r="E1419" s="2" t="s">
        <v>16</v>
      </c>
    </row>
    <row r="1420" spans="1:5" x14ac:dyDescent="0.25">
      <c r="A1420" s="2">
        <v>283</v>
      </c>
      <c r="B1420" s="2">
        <v>7</v>
      </c>
      <c r="C1420" s="8">
        <v>45689</v>
      </c>
      <c r="D1420" s="2" t="s">
        <v>19</v>
      </c>
      <c r="E1420" s="2" t="s">
        <v>16</v>
      </c>
    </row>
    <row r="1421" spans="1:5" x14ac:dyDescent="0.25">
      <c r="A1421" s="2">
        <v>1444</v>
      </c>
      <c r="B1421" s="2">
        <v>38</v>
      </c>
      <c r="C1421" s="8">
        <v>45876</v>
      </c>
      <c r="D1421" s="2" t="s">
        <v>12</v>
      </c>
      <c r="E1421" s="2" t="s">
        <v>16</v>
      </c>
    </row>
    <row r="1422" spans="1:5" x14ac:dyDescent="0.25">
      <c r="A1422" s="2">
        <v>553</v>
      </c>
      <c r="B1422" s="2">
        <v>13</v>
      </c>
      <c r="C1422" s="8">
        <v>45723</v>
      </c>
      <c r="D1422" s="2" t="s">
        <v>20</v>
      </c>
      <c r="E1422" s="2" t="s">
        <v>16</v>
      </c>
    </row>
    <row r="1423" spans="1:5" x14ac:dyDescent="0.25">
      <c r="A1423" s="2">
        <v>778</v>
      </c>
      <c r="B1423" s="2">
        <v>18</v>
      </c>
      <c r="C1423" s="8">
        <v>45759</v>
      </c>
      <c r="D1423" s="2" t="s">
        <v>20</v>
      </c>
      <c r="E1423" s="2" t="s">
        <v>18</v>
      </c>
    </row>
    <row r="1424" spans="1:5" x14ac:dyDescent="0.25">
      <c r="A1424" s="2">
        <v>1466</v>
      </c>
      <c r="B1424" s="2">
        <v>38</v>
      </c>
      <c r="C1424" s="8">
        <v>45872</v>
      </c>
      <c r="D1424" s="2" t="s">
        <v>20</v>
      </c>
      <c r="E1424" s="2" t="s">
        <v>18</v>
      </c>
    </row>
    <row r="1425" spans="1:5" x14ac:dyDescent="0.25">
      <c r="A1425" s="2">
        <v>1447</v>
      </c>
      <c r="B1425" s="2">
        <v>38</v>
      </c>
      <c r="C1425" s="8">
        <v>45882</v>
      </c>
      <c r="D1425" s="2" t="s">
        <v>15</v>
      </c>
      <c r="E1425" s="2" t="s">
        <v>16</v>
      </c>
    </row>
    <row r="1426" spans="1:5" x14ac:dyDescent="0.25">
      <c r="A1426" s="2">
        <v>675</v>
      </c>
      <c r="B1426" s="2">
        <v>17</v>
      </c>
      <c r="C1426" s="8">
        <v>45750</v>
      </c>
      <c r="D1426" s="2" t="s">
        <v>15</v>
      </c>
      <c r="E1426" s="2" t="s">
        <v>16</v>
      </c>
    </row>
    <row r="1427" spans="1:5" x14ac:dyDescent="0.25">
      <c r="A1427" s="2">
        <v>541</v>
      </c>
      <c r="B1427" s="2">
        <v>13</v>
      </c>
      <c r="C1427" s="8">
        <v>45730</v>
      </c>
      <c r="D1427" s="2" t="s">
        <v>19</v>
      </c>
      <c r="E1427" s="2" t="s">
        <v>13</v>
      </c>
    </row>
    <row r="1428" spans="1:5" x14ac:dyDescent="0.25">
      <c r="A1428" s="2">
        <v>1979</v>
      </c>
      <c r="B1428" s="2">
        <v>52</v>
      </c>
      <c r="C1428" s="8">
        <v>45978</v>
      </c>
      <c r="D1428" s="2" t="s">
        <v>20</v>
      </c>
      <c r="E1428" s="2" t="s">
        <v>18</v>
      </c>
    </row>
    <row r="1429" spans="1:5" x14ac:dyDescent="0.25">
      <c r="A1429" s="2">
        <v>624</v>
      </c>
      <c r="B1429" s="2">
        <v>15</v>
      </c>
      <c r="C1429" s="8">
        <v>45739</v>
      </c>
      <c r="D1429" s="2" t="s">
        <v>20</v>
      </c>
      <c r="E1429" s="2" t="s">
        <v>13</v>
      </c>
    </row>
    <row r="1430" spans="1:5" x14ac:dyDescent="0.25">
      <c r="A1430" s="2">
        <v>99</v>
      </c>
      <c r="B1430" s="2">
        <v>3</v>
      </c>
      <c r="C1430" s="8" t="s">
        <v>39</v>
      </c>
      <c r="D1430" s="2" t="s">
        <v>19</v>
      </c>
      <c r="E1430" s="2" t="s">
        <v>18</v>
      </c>
    </row>
    <row r="1431" spans="1:5" x14ac:dyDescent="0.25">
      <c r="A1431" s="2">
        <v>227</v>
      </c>
      <c r="B1431" s="2">
        <v>6</v>
      </c>
      <c r="C1431" s="8">
        <v>45710</v>
      </c>
      <c r="D1431" s="2" t="s">
        <v>12</v>
      </c>
      <c r="E1431" s="2" t="s">
        <v>18</v>
      </c>
    </row>
    <row r="1432" spans="1:5" x14ac:dyDescent="0.25">
      <c r="A1432" s="2">
        <v>89</v>
      </c>
      <c r="B1432" s="2">
        <v>3</v>
      </c>
      <c r="C1432" s="8">
        <v>45682</v>
      </c>
      <c r="D1432" s="2" t="s">
        <v>12</v>
      </c>
      <c r="E1432" s="2" t="s">
        <v>13</v>
      </c>
    </row>
    <row r="1433" spans="1:5" x14ac:dyDescent="0.25">
      <c r="A1433" s="2">
        <v>2028</v>
      </c>
      <c r="B1433" s="2">
        <v>53</v>
      </c>
      <c r="C1433" s="8">
        <v>45964</v>
      </c>
      <c r="D1433" s="2" t="s">
        <v>20</v>
      </c>
      <c r="E1433" s="2" t="s">
        <v>18</v>
      </c>
    </row>
    <row r="1434" spans="1:5" x14ac:dyDescent="0.25">
      <c r="A1434" s="2">
        <v>108</v>
      </c>
      <c r="B1434" s="2">
        <v>3</v>
      </c>
      <c r="C1434" s="8">
        <v>45659</v>
      </c>
      <c r="D1434" s="2" t="s">
        <v>12</v>
      </c>
      <c r="E1434" s="2" t="s">
        <v>13</v>
      </c>
    </row>
    <row r="1435" spans="1:5" x14ac:dyDescent="0.25">
      <c r="A1435" s="2">
        <v>1545</v>
      </c>
      <c r="B1435" s="2">
        <v>39</v>
      </c>
      <c r="C1435" s="8">
        <v>45875</v>
      </c>
      <c r="D1435" s="2" t="s">
        <v>12</v>
      </c>
      <c r="E1435" s="2" t="s">
        <v>18</v>
      </c>
    </row>
    <row r="1436" spans="1:5" x14ac:dyDescent="0.25">
      <c r="A1436" s="2">
        <v>1654</v>
      </c>
      <c r="B1436" s="2">
        <v>43</v>
      </c>
      <c r="C1436" s="8">
        <v>45922</v>
      </c>
      <c r="D1436" s="2" t="s">
        <v>20</v>
      </c>
      <c r="E1436" s="2" t="s">
        <v>18</v>
      </c>
    </row>
    <row r="1437" spans="1:5" x14ac:dyDescent="0.25">
      <c r="A1437" s="2">
        <v>1101</v>
      </c>
      <c r="B1437" s="2">
        <v>28</v>
      </c>
      <c r="C1437" s="8">
        <v>45813</v>
      </c>
      <c r="D1437" s="2" t="s">
        <v>12</v>
      </c>
      <c r="E1437" s="2" t="s">
        <v>16</v>
      </c>
    </row>
    <row r="1438" spans="1:5" x14ac:dyDescent="0.25">
      <c r="A1438" s="2">
        <v>756</v>
      </c>
      <c r="B1438" s="2">
        <v>18</v>
      </c>
      <c r="C1438" s="8">
        <v>45748</v>
      </c>
      <c r="D1438" s="2" t="s">
        <v>20</v>
      </c>
      <c r="E1438" s="2" t="s">
        <v>16</v>
      </c>
    </row>
    <row r="1439" spans="1:5" x14ac:dyDescent="0.25">
      <c r="A1439" s="2">
        <v>1933</v>
      </c>
      <c r="B1439" s="2">
        <v>50</v>
      </c>
      <c r="C1439" s="8" t="s">
        <v>40</v>
      </c>
      <c r="D1439" s="2" t="s">
        <v>19</v>
      </c>
      <c r="E1439" s="2" t="s">
        <v>14</v>
      </c>
    </row>
    <row r="1440" spans="1:5" x14ac:dyDescent="0.25">
      <c r="A1440" s="2">
        <v>181</v>
      </c>
      <c r="B1440" s="2">
        <v>3</v>
      </c>
      <c r="C1440" s="8">
        <v>45660</v>
      </c>
      <c r="D1440" s="2" t="s">
        <v>12</v>
      </c>
      <c r="E1440" s="2" t="s">
        <v>18</v>
      </c>
    </row>
    <row r="1441" spans="1:5" x14ac:dyDescent="0.25">
      <c r="A1441" s="2">
        <v>349</v>
      </c>
      <c r="B1441" s="2">
        <v>8</v>
      </c>
      <c r="C1441" s="8">
        <v>45692</v>
      </c>
      <c r="D1441" s="2" t="s">
        <v>15</v>
      </c>
      <c r="E1441" s="2" t="s">
        <v>16</v>
      </c>
    </row>
    <row r="1442" spans="1:5" x14ac:dyDescent="0.25">
      <c r="A1442" s="2">
        <v>464</v>
      </c>
      <c r="B1442" s="2">
        <v>12</v>
      </c>
      <c r="C1442" s="8">
        <v>45726</v>
      </c>
      <c r="D1442" s="2" t="s">
        <v>12</v>
      </c>
      <c r="E1442" s="2" t="s">
        <v>18</v>
      </c>
    </row>
    <row r="1443" spans="1:5" x14ac:dyDescent="0.25">
      <c r="A1443" s="2">
        <v>1893</v>
      </c>
      <c r="B1443" s="2">
        <v>48</v>
      </c>
      <c r="C1443" s="8">
        <v>45931</v>
      </c>
      <c r="D1443" s="2" t="s">
        <v>12</v>
      </c>
      <c r="E1443" s="2" t="s">
        <v>16</v>
      </c>
    </row>
    <row r="1444" spans="1:5" x14ac:dyDescent="0.25">
      <c r="A1444" s="2">
        <v>1409</v>
      </c>
      <c r="B1444" s="2">
        <v>36</v>
      </c>
      <c r="C1444" s="8">
        <v>45883</v>
      </c>
      <c r="D1444" s="2" t="s">
        <v>19</v>
      </c>
      <c r="E1444" s="2" t="s">
        <v>16</v>
      </c>
    </row>
    <row r="1445" spans="1:5" x14ac:dyDescent="0.25">
      <c r="A1445" s="2">
        <v>2134</v>
      </c>
      <c r="B1445" s="2">
        <v>60</v>
      </c>
      <c r="C1445" s="8">
        <v>46016</v>
      </c>
      <c r="D1445" s="2" t="s">
        <v>12</v>
      </c>
      <c r="E1445" s="2" t="s">
        <v>16</v>
      </c>
    </row>
    <row r="1446" spans="1:5" x14ac:dyDescent="0.25">
      <c r="A1446" s="2">
        <v>216</v>
      </c>
      <c r="B1446" s="2">
        <v>4</v>
      </c>
      <c r="C1446" s="8">
        <v>45682</v>
      </c>
      <c r="D1446" s="2" t="s">
        <v>20</v>
      </c>
      <c r="E1446" s="2" t="s">
        <v>16</v>
      </c>
    </row>
    <row r="1447" spans="1:5" x14ac:dyDescent="0.25">
      <c r="A1447" s="2">
        <v>285</v>
      </c>
      <c r="B1447" s="2">
        <v>7</v>
      </c>
      <c r="C1447" s="8">
        <v>45689</v>
      </c>
      <c r="D1447" s="2" t="s">
        <v>19</v>
      </c>
      <c r="E1447" s="2" t="s">
        <v>14</v>
      </c>
    </row>
    <row r="1448" spans="1:5" x14ac:dyDescent="0.25">
      <c r="A1448" s="2">
        <v>22</v>
      </c>
      <c r="B1448" s="2">
        <v>1</v>
      </c>
      <c r="C1448" s="8">
        <v>45679</v>
      </c>
      <c r="D1448" s="2" t="s">
        <v>12</v>
      </c>
      <c r="E1448" s="2" t="s">
        <v>18</v>
      </c>
    </row>
    <row r="1449" spans="1:5" x14ac:dyDescent="0.25">
      <c r="A1449" s="2">
        <v>98</v>
      </c>
      <c r="B1449" s="2">
        <v>3</v>
      </c>
      <c r="C1449" s="8">
        <v>45659</v>
      </c>
      <c r="D1449" s="2" t="s">
        <v>12</v>
      </c>
      <c r="E1449" s="2" t="s">
        <v>16</v>
      </c>
    </row>
    <row r="1450" spans="1:5" x14ac:dyDescent="0.25">
      <c r="A1450" s="2">
        <v>1828</v>
      </c>
      <c r="B1450" s="2">
        <v>47</v>
      </c>
      <c r="C1450" s="8">
        <v>45944</v>
      </c>
      <c r="D1450" s="2" t="s">
        <v>19</v>
      </c>
      <c r="E1450" s="2" t="s">
        <v>13</v>
      </c>
    </row>
    <row r="1451" spans="1:5" x14ac:dyDescent="0.25">
      <c r="A1451" s="2">
        <v>60</v>
      </c>
      <c r="B1451" s="2">
        <v>2</v>
      </c>
      <c r="C1451" s="8">
        <v>45684</v>
      </c>
      <c r="D1451" s="2" t="s">
        <v>12</v>
      </c>
      <c r="E1451" s="2" t="s">
        <v>16</v>
      </c>
    </row>
    <row r="1452" spans="1:5" x14ac:dyDescent="0.25">
      <c r="A1452" s="2">
        <v>1945</v>
      </c>
      <c r="B1452" s="2">
        <v>50</v>
      </c>
      <c r="C1452" s="8">
        <v>45951</v>
      </c>
      <c r="D1452" s="2" t="s">
        <v>20</v>
      </c>
      <c r="E1452" s="2" t="s">
        <v>18</v>
      </c>
    </row>
    <row r="1453" spans="1:5" x14ac:dyDescent="0.25">
      <c r="A1453" s="2">
        <v>1744</v>
      </c>
      <c r="B1453" s="2">
        <v>45</v>
      </c>
      <c r="C1453" s="8">
        <v>45912</v>
      </c>
      <c r="D1453" s="2" t="s">
        <v>20</v>
      </c>
      <c r="E1453" s="2" t="s">
        <v>13</v>
      </c>
    </row>
    <row r="1454" spans="1:5" x14ac:dyDescent="0.25">
      <c r="A1454" s="2">
        <v>1579</v>
      </c>
      <c r="B1454" s="2">
        <v>41</v>
      </c>
      <c r="C1454" s="8">
        <v>45916</v>
      </c>
      <c r="D1454" s="2" t="s">
        <v>12</v>
      </c>
      <c r="E1454" s="2" t="s">
        <v>16</v>
      </c>
    </row>
    <row r="1455" spans="1:5" x14ac:dyDescent="0.25">
      <c r="A1455" s="2">
        <v>249</v>
      </c>
      <c r="B1455" s="2">
        <v>6</v>
      </c>
      <c r="C1455" s="8">
        <v>45709</v>
      </c>
      <c r="D1455" s="2" t="s">
        <v>15</v>
      </c>
      <c r="E1455" s="2" t="s">
        <v>18</v>
      </c>
    </row>
    <row r="1456" spans="1:5" x14ac:dyDescent="0.25">
      <c r="A1456" s="2">
        <v>1313</v>
      </c>
      <c r="B1456" s="2">
        <v>33</v>
      </c>
      <c r="C1456" s="8">
        <v>45857</v>
      </c>
      <c r="D1456" s="2" t="s">
        <v>15</v>
      </c>
      <c r="E1456" s="2" t="s">
        <v>16</v>
      </c>
    </row>
    <row r="1457" spans="1:5" x14ac:dyDescent="0.25">
      <c r="A1457" s="2">
        <v>1011</v>
      </c>
      <c r="B1457" s="2">
        <v>26</v>
      </c>
      <c r="C1457" s="8">
        <v>45829</v>
      </c>
      <c r="D1457" s="2" t="s">
        <v>12</v>
      </c>
      <c r="E1457" s="2" t="s">
        <v>18</v>
      </c>
    </row>
    <row r="1458" spans="1:5" x14ac:dyDescent="0.25">
      <c r="A1458" s="2">
        <v>931</v>
      </c>
      <c r="B1458" s="2">
        <v>23</v>
      </c>
      <c r="C1458" s="8">
        <v>45798</v>
      </c>
      <c r="D1458" s="2" t="s">
        <v>12</v>
      </c>
      <c r="E1458" s="2" t="s">
        <v>16</v>
      </c>
    </row>
    <row r="1459" spans="1:5" x14ac:dyDescent="0.25">
      <c r="A1459" s="2">
        <v>1942</v>
      </c>
      <c r="B1459" s="2">
        <v>50</v>
      </c>
      <c r="C1459" s="8">
        <v>45944</v>
      </c>
      <c r="D1459" s="2" t="s">
        <v>20</v>
      </c>
      <c r="E1459" s="2" t="s">
        <v>18</v>
      </c>
    </row>
    <row r="1460" spans="1:5" x14ac:dyDescent="0.25">
      <c r="A1460" s="2">
        <v>1669</v>
      </c>
      <c r="B1460" s="2">
        <v>43</v>
      </c>
      <c r="C1460" s="8">
        <v>45913</v>
      </c>
      <c r="D1460" s="2" t="s">
        <v>20</v>
      </c>
      <c r="E1460" s="2" t="s">
        <v>14</v>
      </c>
    </row>
    <row r="1461" spans="1:5" x14ac:dyDescent="0.25">
      <c r="A1461" s="2">
        <v>2037</v>
      </c>
      <c r="B1461" s="2">
        <v>53</v>
      </c>
      <c r="C1461" s="8">
        <v>45966</v>
      </c>
      <c r="D1461" s="2" t="s">
        <v>12</v>
      </c>
      <c r="E1461" s="2" t="s">
        <v>16</v>
      </c>
    </row>
    <row r="1462" spans="1:5" x14ac:dyDescent="0.25">
      <c r="A1462" s="2">
        <v>97</v>
      </c>
      <c r="B1462" s="2">
        <v>3</v>
      </c>
      <c r="C1462" s="8">
        <v>45667</v>
      </c>
      <c r="D1462" s="2" t="s">
        <v>12</v>
      </c>
      <c r="E1462" s="2" t="s">
        <v>13</v>
      </c>
    </row>
    <row r="1463" spans="1:5" x14ac:dyDescent="0.25">
      <c r="A1463" s="2">
        <v>1255</v>
      </c>
      <c r="B1463" s="2">
        <v>32</v>
      </c>
      <c r="C1463" s="8">
        <v>45860</v>
      </c>
      <c r="D1463" s="2" t="s">
        <v>20</v>
      </c>
      <c r="E1463" s="2" t="s">
        <v>18</v>
      </c>
    </row>
    <row r="1464" spans="1:5" x14ac:dyDescent="0.25">
      <c r="A1464" s="2">
        <v>1511</v>
      </c>
      <c r="B1464" s="2">
        <v>38</v>
      </c>
      <c r="C1464" s="8">
        <v>45890</v>
      </c>
      <c r="D1464" s="2" t="s">
        <v>12</v>
      </c>
      <c r="E1464" s="2" t="s">
        <v>18</v>
      </c>
    </row>
    <row r="1465" spans="1:5" x14ac:dyDescent="0.25">
      <c r="A1465" s="2">
        <v>642</v>
      </c>
      <c r="B1465" s="2">
        <v>16</v>
      </c>
      <c r="C1465" s="8">
        <v>45765</v>
      </c>
      <c r="D1465" s="2" t="s">
        <v>20</v>
      </c>
      <c r="E1465" s="2" t="s">
        <v>18</v>
      </c>
    </row>
    <row r="1466" spans="1:5" x14ac:dyDescent="0.25">
      <c r="A1466" s="2">
        <v>1140</v>
      </c>
      <c r="B1466" s="2">
        <v>28</v>
      </c>
      <c r="C1466" s="8">
        <v>45824</v>
      </c>
      <c r="D1466" s="2" t="s">
        <v>12</v>
      </c>
      <c r="E1466" s="2" t="s">
        <v>13</v>
      </c>
    </row>
    <row r="1467" spans="1:5" x14ac:dyDescent="0.25">
      <c r="A1467" s="2">
        <v>164</v>
      </c>
      <c r="B1467" s="2">
        <v>3</v>
      </c>
      <c r="C1467" s="8">
        <v>45680</v>
      </c>
      <c r="D1467" s="2" t="s">
        <v>15</v>
      </c>
      <c r="E1467" s="2" t="s">
        <v>16</v>
      </c>
    </row>
    <row r="1468" spans="1:5" x14ac:dyDescent="0.25">
      <c r="A1468" s="2">
        <v>1612</v>
      </c>
      <c r="B1468" s="2">
        <v>42</v>
      </c>
      <c r="C1468" s="8" t="s">
        <v>24</v>
      </c>
      <c r="D1468" s="2" t="s">
        <v>12</v>
      </c>
      <c r="E1468" s="2" t="s">
        <v>14</v>
      </c>
    </row>
    <row r="1469" spans="1:5" x14ac:dyDescent="0.25">
      <c r="A1469" s="2">
        <v>709</v>
      </c>
      <c r="B1469" s="2">
        <v>18</v>
      </c>
      <c r="C1469" s="8">
        <v>45774</v>
      </c>
      <c r="D1469" s="2" t="s">
        <v>12</v>
      </c>
      <c r="E1469" s="2" t="s">
        <v>13</v>
      </c>
    </row>
    <row r="1470" spans="1:5" x14ac:dyDescent="0.25">
      <c r="A1470" s="2">
        <v>650</v>
      </c>
      <c r="B1470" s="2">
        <v>17</v>
      </c>
      <c r="C1470" s="8">
        <v>45766</v>
      </c>
      <c r="D1470" s="2" t="s">
        <v>12</v>
      </c>
      <c r="E1470" s="2" t="s">
        <v>13</v>
      </c>
    </row>
    <row r="1471" spans="1:5" x14ac:dyDescent="0.25">
      <c r="A1471" s="2">
        <v>1508</v>
      </c>
      <c r="B1471" s="2">
        <v>38</v>
      </c>
      <c r="C1471" s="8" t="s">
        <v>41</v>
      </c>
      <c r="D1471" s="2" t="s">
        <v>12</v>
      </c>
      <c r="E1471" s="2" t="s">
        <v>16</v>
      </c>
    </row>
    <row r="1472" spans="1:5" x14ac:dyDescent="0.25">
      <c r="A1472" s="2">
        <v>617</v>
      </c>
      <c r="B1472" s="2">
        <v>15</v>
      </c>
      <c r="C1472" s="8">
        <v>45724</v>
      </c>
      <c r="D1472" s="2" t="s">
        <v>15</v>
      </c>
      <c r="E1472" s="2" t="s">
        <v>16</v>
      </c>
    </row>
    <row r="1473" spans="1:5" x14ac:dyDescent="0.25">
      <c r="A1473" s="2">
        <v>851</v>
      </c>
      <c r="B1473" s="2">
        <v>21</v>
      </c>
      <c r="C1473" s="8">
        <v>45805</v>
      </c>
      <c r="D1473" s="2" t="s">
        <v>12</v>
      </c>
      <c r="E1473" s="2" t="s">
        <v>18</v>
      </c>
    </row>
    <row r="1474" spans="1:5" x14ac:dyDescent="0.25">
      <c r="A1474" s="2">
        <v>195</v>
      </c>
      <c r="B1474" s="2">
        <v>4</v>
      </c>
      <c r="C1474" s="8">
        <v>45663</v>
      </c>
      <c r="D1474" s="2" t="s">
        <v>19</v>
      </c>
      <c r="E1474" s="2" t="s">
        <v>16</v>
      </c>
    </row>
    <row r="1475" spans="1:5" x14ac:dyDescent="0.25">
      <c r="A1475" s="2">
        <v>963</v>
      </c>
      <c r="B1475" s="2">
        <v>23</v>
      </c>
      <c r="C1475" s="8">
        <v>45797</v>
      </c>
      <c r="D1475" s="2" t="s">
        <v>20</v>
      </c>
      <c r="E1475" s="2" t="s">
        <v>16</v>
      </c>
    </row>
    <row r="1476" spans="1:5" x14ac:dyDescent="0.25">
      <c r="A1476" s="2">
        <v>143</v>
      </c>
      <c r="B1476" s="2">
        <v>3</v>
      </c>
      <c r="C1476" s="8">
        <v>45678</v>
      </c>
      <c r="D1476" s="2" t="s">
        <v>12</v>
      </c>
      <c r="E1476" s="2" t="s">
        <v>14</v>
      </c>
    </row>
    <row r="1477" spans="1:5" x14ac:dyDescent="0.25">
      <c r="A1477" s="2">
        <v>1872</v>
      </c>
      <c r="B1477" s="2">
        <v>48</v>
      </c>
      <c r="C1477" s="8">
        <v>45943</v>
      </c>
      <c r="D1477" s="2" t="s">
        <v>12</v>
      </c>
      <c r="E1477" s="2" t="s">
        <v>16</v>
      </c>
    </row>
    <row r="1478" spans="1:5" x14ac:dyDescent="0.25">
      <c r="A1478" s="2">
        <v>1836</v>
      </c>
      <c r="B1478" s="2">
        <v>47</v>
      </c>
      <c r="C1478" s="8">
        <v>45934</v>
      </c>
      <c r="D1478" s="2" t="s">
        <v>15</v>
      </c>
      <c r="E1478" s="2" t="s">
        <v>16</v>
      </c>
    </row>
    <row r="1479" spans="1:5" x14ac:dyDescent="0.25">
      <c r="A1479" s="2">
        <v>691</v>
      </c>
      <c r="B1479" s="2">
        <v>17</v>
      </c>
      <c r="C1479" s="8">
        <v>45766</v>
      </c>
      <c r="D1479" s="2" t="s">
        <v>12</v>
      </c>
      <c r="E1479" s="2" t="s">
        <v>18</v>
      </c>
    </row>
    <row r="1480" spans="1:5" x14ac:dyDescent="0.25">
      <c r="A1480" s="2">
        <v>81</v>
      </c>
      <c r="B1480" s="2">
        <v>2</v>
      </c>
      <c r="C1480" s="8">
        <v>45671</v>
      </c>
      <c r="D1480" s="2" t="s">
        <v>12</v>
      </c>
      <c r="E1480" s="2" t="s">
        <v>13</v>
      </c>
    </row>
    <row r="1481" spans="1:5" x14ac:dyDescent="0.25">
      <c r="A1481" s="2">
        <v>1081</v>
      </c>
      <c r="B1481" s="2">
        <v>27</v>
      </c>
      <c r="C1481" s="8">
        <v>45813</v>
      </c>
      <c r="D1481" s="2" t="s">
        <v>12</v>
      </c>
      <c r="E1481" s="2" t="s">
        <v>18</v>
      </c>
    </row>
    <row r="1482" spans="1:5" x14ac:dyDescent="0.25">
      <c r="A1482" s="2">
        <v>1093</v>
      </c>
      <c r="B1482" s="2">
        <v>27</v>
      </c>
      <c r="C1482" s="8">
        <v>45825</v>
      </c>
      <c r="D1482" s="2" t="s">
        <v>17</v>
      </c>
      <c r="E1482" s="2" t="s">
        <v>16</v>
      </c>
    </row>
    <row r="1483" spans="1:5" x14ac:dyDescent="0.25">
      <c r="A1483" s="2">
        <v>76</v>
      </c>
      <c r="B1483" s="2">
        <v>2</v>
      </c>
      <c r="C1483" s="8">
        <v>45680</v>
      </c>
      <c r="D1483" s="2" t="s">
        <v>20</v>
      </c>
      <c r="E1483" s="2" t="s">
        <v>18</v>
      </c>
    </row>
    <row r="1484" spans="1:5" x14ac:dyDescent="0.25">
      <c r="A1484" s="2">
        <v>825</v>
      </c>
      <c r="B1484" s="2">
        <v>20</v>
      </c>
      <c r="C1484" s="8">
        <v>45759</v>
      </c>
      <c r="D1484" s="2" t="s">
        <v>17</v>
      </c>
      <c r="E1484" s="2" t="s">
        <v>18</v>
      </c>
    </row>
    <row r="1485" spans="1:5" x14ac:dyDescent="0.25">
      <c r="A1485" s="2">
        <v>269</v>
      </c>
      <c r="B1485" s="2">
        <v>7</v>
      </c>
      <c r="C1485" s="8">
        <v>45690</v>
      </c>
      <c r="D1485" s="2" t="s">
        <v>15</v>
      </c>
      <c r="E1485" s="2" t="s">
        <v>18</v>
      </c>
    </row>
    <row r="1486" spans="1:5" x14ac:dyDescent="0.25">
      <c r="A1486" s="2">
        <v>583</v>
      </c>
      <c r="B1486" s="2">
        <v>13</v>
      </c>
      <c r="C1486" s="8">
        <v>45742</v>
      </c>
      <c r="D1486" s="2" t="s">
        <v>20</v>
      </c>
      <c r="E1486" s="2" t="s">
        <v>16</v>
      </c>
    </row>
    <row r="1487" spans="1:5" x14ac:dyDescent="0.25">
      <c r="A1487" s="2">
        <v>946</v>
      </c>
      <c r="B1487" s="2">
        <v>23</v>
      </c>
      <c r="C1487" s="8">
        <v>45799</v>
      </c>
      <c r="D1487" s="2" t="s">
        <v>12</v>
      </c>
      <c r="E1487" s="2" t="s">
        <v>18</v>
      </c>
    </row>
    <row r="1488" spans="1:5" x14ac:dyDescent="0.25">
      <c r="A1488" s="2">
        <v>10</v>
      </c>
      <c r="B1488" s="2">
        <v>1</v>
      </c>
      <c r="C1488" s="8">
        <v>45662</v>
      </c>
      <c r="D1488" s="2" t="s">
        <v>12</v>
      </c>
      <c r="E1488" s="2" t="s">
        <v>16</v>
      </c>
    </row>
    <row r="1489" spans="1:5" x14ac:dyDescent="0.25">
      <c r="A1489" s="2">
        <v>1180</v>
      </c>
      <c r="B1489" s="2">
        <v>30</v>
      </c>
      <c r="C1489" s="8">
        <v>45815</v>
      </c>
      <c r="D1489" s="2" t="s">
        <v>20</v>
      </c>
      <c r="E1489" s="2" t="s">
        <v>13</v>
      </c>
    </row>
    <row r="1490" spans="1:5" x14ac:dyDescent="0.25">
      <c r="A1490" s="2">
        <v>1319</v>
      </c>
      <c r="B1490" s="2">
        <v>33</v>
      </c>
      <c r="C1490" s="8">
        <v>45864</v>
      </c>
      <c r="D1490" s="2" t="s">
        <v>15</v>
      </c>
      <c r="E1490" s="2" t="s">
        <v>18</v>
      </c>
    </row>
    <row r="1491" spans="1:5" x14ac:dyDescent="0.25">
      <c r="A1491" s="2">
        <v>37</v>
      </c>
      <c r="B1491" s="2">
        <v>2</v>
      </c>
      <c r="C1491" s="8">
        <v>45677</v>
      </c>
      <c r="D1491" s="2" t="s">
        <v>20</v>
      </c>
      <c r="E1491" s="2" t="s">
        <v>16</v>
      </c>
    </row>
    <row r="1492" spans="1:5" x14ac:dyDescent="0.25">
      <c r="A1492" s="2">
        <v>1891</v>
      </c>
      <c r="B1492" s="2">
        <v>48</v>
      </c>
      <c r="C1492" s="8">
        <v>45938</v>
      </c>
      <c r="D1492" s="2" t="s">
        <v>12</v>
      </c>
      <c r="E1492" s="2" t="s">
        <v>14</v>
      </c>
    </row>
    <row r="1493" spans="1:5" x14ac:dyDescent="0.25">
      <c r="A1493" s="2">
        <v>44</v>
      </c>
      <c r="B1493" s="2">
        <v>2</v>
      </c>
      <c r="C1493" s="8">
        <v>45659</v>
      </c>
      <c r="D1493" s="2" t="s">
        <v>12</v>
      </c>
      <c r="E1493" s="2" t="s">
        <v>13</v>
      </c>
    </row>
    <row r="1494" spans="1:5" x14ac:dyDescent="0.25">
      <c r="A1494" s="2">
        <v>1181</v>
      </c>
      <c r="B1494" s="2">
        <v>30</v>
      </c>
      <c r="C1494" s="8">
        <v>45823</v>
      </c>
      <c r="D1494" s="2" t="s">
        <v>20</v>
      </c>
      <c r="E1494" s="2" t="s">
        <v>18</v>
      </c>
    </row>
    <row r="1495" spans="1:5" x14ac:dyDescent="0.25">
      <c r="A1495" s="2">
        <v>485</v>
      </c>
      <c r="B1495" s="2">
        <v>12</v>
      </c>
      <c r="C1495" s="8">
        <v>45717</v>
      </c>
      <c r="D1495" s="2" t="s">
        <v>20</v>
      </c>
      <c r="E1495" s="2" t="s">
        <v>14</v>
      </c>
    </row>
    <row r="1496" spans="1:5" x14ac:dyDescent="0.25">
      <c r="A1496" s="2">
        <v>1584</v>
      </c>
      <c r="B1496" s="2">
        <v>42</v>
      </c>
      <c r="C1496" s="8">
        <v>45910</v>
      </c>
      <c r="D1496" s="2" t="s">
        <v>19</v>
      </c>
      <c r="E1496" s="2" t="s">
        <v>18</v>
      </c>
    </row>
    <row r="1497" spans="1:5" x14ac:dyDescent="0.25">
      <c r="A1497" s="2">
        <v>2135</v>
      </c>
      <c r="B1497" s="2">
        <v>60</v>
      </c>
      <c r="C1497" s="8">
        <v>46003</v>
      </c>
      <c r="D1497" s="2" t="s">
        <v>15</v>
      </c>
      <c r="E1497" s="2" t="s">
        <v>18</v>
      </c>
    </row>
    <row r="1498" spans="1:5" x14ac:dyDescent="0.25">
      <c r="A1498" s="2">
        <v>670</v>
      </c>
      <c r="B1498" s="2">
        <v>17</v>
      </c>
      <c r="C1498" s="8">
        <v>45763</v>
      </c>
      <c r="D1498" s="2" t="s">
        <v>20</v>
      </c>
      <c r="E1498" s="2" t="s">
        <v>18</v>
      </c>
    </row>
    <row r="1499" spans="1:5" x14ac:dyDescent="0.25">
      <c r="A1499" s="2">
        <v>1232</v>
      </c>
      <c r="B1499" s="2">
        <v>32</v>
      </c>
      <c r="C1499" s="8">
        <v>45859</v>
      </c>
      <c r="D1499" s="2" t="s">
        <v>12</v>
      </c>
      <c r="E1499" s="2" t="s">
        <v>16</v>
      </c>
    </row>
    <row r="1500" spans="1:5" x14ac:dyDescent="0.25">
      <c r="A1500" s="2">
        <v>351</v>
      </c>
      <c r="B1500" s="2">
        <v>8</v>
      </c>
      <c r="C1500" s="8">
        <v>45706</v>
      </c>
      <c r="D1500" s="2" t="s">
        <v>15</v>
      </c>
      <c r="E1500" s="2" t="s">
        <v>16</v>
      </c>
    </row>
    <row r="1501" spans="1:5" x14ac:dyDescent="0.25">
      <c r="A1501" s="2">
        <v>928</v>
      </c>
      <c r="B1501" s="2">
        <v>23</v>
      </c>
      <c r="C1501" s="8">
        <v>45800</v>
      </c>
      <c r="D1501" s="2" t="s">
        <v>19</v>
      </c>
      <c r="E1501" s="2" t="s">
        <v>18</v>
      </c>
    </row>
    <row r="1502" spans="1:5" x14ac:dyDescent="0.25">
      <c r="A1502" s="2">
        <v>1842</v>
      </c>
      <c r="B1502" s="2">
        <v>48</v>
      </c>
      <c r="C1502" s="8">
        <v>45937</v>
      </c>
      <c r="D1502" s="2" t="s">
        <v>19</v>
      </c>
      <c r="E1502" s="2" t="s">
        <v>13</v>
      </c>
    </row>
    <row r="1503" spans="1:5" x14ac:dyDescent="0.25">
      <c r="A1503" s="2">
        <v>245</v>
      </c>
      <c r="B1503" s="2">
        <v>6</v>
      </c>
      <c r="C1503" s="8">
        <v>45707</v>
      </c>
      <c r="D1503" s="2" t="s">
        <v>15</v>
      </c>
      <c r="E1503" s="2" t="s">
        <v>16</v>
      </c>
    </row>
    <row r="1504" spans="1:5" x14ac:dyDescent="0.25">
      <c r="A1504" s="2">
        <v>863</v>
      </c>
      <c r="B1504" s="2">
        <v>21</v>
      </c>
      <c r="C1504" s="8">
        <v>45803</v>
      </c>
      <c r="D1504" s="2" t="s">
        <v>12</v>
      </c>
      <c r="E1504" s="2" t="s">
        <v>18</v>
      </c>
    </row>
    <row r="1505" spans="1:5" x14ac:dyDescent="0.25">
      <c r="A1505" s="2">
        <v>563</v>
      </c>
      <c r="B1505" s="2">
        <v>13</v>
      </c>
      <c r="C1505" s="8">
        <v>45720</v>
      </c>
      <c r="D1505" s="2" t="s">
        <v>12</v>
      </c>
      <c r="E1505" s="2" t="s">
        <v>13</v>
      </c>
    </row>
    <row r="1506" spans="1:5" x14ac:dyDescent="0.25">
      <c r="A1506" s="2">
        <v>96</v>
      </c>
      <c r="B1506" s="2">
        <v>3</v>
      </c>
      <c r="C1506" s="8">
        <v>45661</v>
      </c>
      <c r="D1506" s="2" t="s">
        <v>20</v>
      </c>
      <c r="E1506" s="2" t="s">
        <v>18</v>
      </c>
    </row>
    <row r="1507" spans="1:5" x14ac:dyDescent="0.25">
      <c r="A1507" s="2">
        <v>1022</v>
      </c>
      <c r="B1507" s="2">
        <v>26</v>
      </c>
      <c r="C1507" s="8" t="s">
        <v>42</v>
      </c>
      <c r="D1507" s="2" t="s">
        <v>12</v>
      </c>
      <c r="E1507" s="2" t="s">
        <v>18</v>
      </c>
    </row>
    <row r="1508" spans="1:5" x14ac:dyDescent="0.25">
      <c r="A1508" s="2">
        <v>1012</v>
      </c>
      <c r="B1508" s="2">
        <v>26</v>
      </c>
      <c r="C1508" s="8">
        <v>45812</v>
      </c>
      <c r="D1508" s="2" t="s">
        <v>12</v>
      </c>
      <c r="E1508" s="2" t="s">
        <v>16</v>
      </c>
    </row>
    <row r="1509" spans="1:5" x14ac:dyDescent="0.25">
      <c r="A1509" s="2">
        <v>102</v>
      </c>
      <c r="B1509" s="2">
        <v>3</v>
      </c>
      <c r="C1509" s="8">
        <v>45661</v>
      </c>
      <c r="D1509" s="2" t="s">
        <v>20</v>
      </c>
      <c r="E1509" s="2" t="s">
        <v>16</v>
      </c>
    </row>
    <row r="1510" spans="1:5" x14ac:dyDescent="0.25">
      <c r="A1510" s="2">
        <v>404</v>
      </c>
      <c r="B1510" s="2">
        <v>9</v>
      </c>
      <c r="C1510" s="8">
        <v>45708</v>
      </c>
      <c r="D1510" s="2" t="s">
        <v>15</v>
      </c>
      <c r="E1510" s="2" t="s">
        <v>13</v>
      </c>
    </row>
    <row r="1511" spans="1:5" x14ac:dyDescent="0.25">
      <c r="A1511" s="2">
        <v>1608</v>
      </c>
      <c r="B1511" s="2">
        <v>42</v>
      </c>
      <c r="C1511" s="8">
        <v>45927</v>
      </c>
      <c r="D1511" s="2" t="s">
        <v>15</v>
      </c>
      <c r="E1511" s="2" t="s">
        <v>18</v>
      </c>
    </row>
    <row r="1512" spans="1:5" x14ac:dyDescent="0.25">
      <c r="A1512" s="2">
        <v>656</v>
      </c>
      <c r="B1512" s="2">
        <v>17</v>
      </c>
      <c r="C1512" s="8">
        <v>45759</v>
      </c>
      <c r="D1512" s="2" t="s">
        <v>20</v>
      </c>
      <c r="E1512" s="2" t="s">
        <v>14</v>
      </c>
    </row>
    <row r="1513" spans="1:5" x14ac:dyDescent="0.25">
      <c r="A1513" s="2">
        <v>1801</v>
      </c>
      <c r="B1513" s="2">
        <v>46</v>
      </c>
      <c r="C1513" s="8">
        <v>45936</v>
      </c>
      <c r="D1513" s="2" t="s">
        <v>15</v>
      </c>
      <c r="E1513" s="2" t="s">
        <v>18</v>
      </c>
    </row>
    <row r="1514" spans="1:5" x14ac:dyDescent="0.25">
      <c r="A1514" s="2">
        <v>892</v>
      </c>
      <c r="B1514" s="2">
        <v>22</v>
      </c>
      <c r="C1514" s="8">
        <v>45786</v>
      </c>
      <c r="D1514" s="2" t="s">
        <v>19</v>
      </c>
      <c r="E1514" s="2" t="s">
        <v>16</v>
      </c>
    </row>
    <row r="1515" spans="1:5" x14ac:dyDescent="0.25">
      <c r="A1515" s="2">
        <v>1398</v>
      </c>
      <c r="B1515" s="2">
        <v>36</v>
      </c>
      <c r="C1515" s="8">
        <v>45880</v>
      </c>
      <c r="D1515" s="2" t="s">
        <v>12</v>
      </c>
      <c r="E1515" s="2" t="s">
        <v>16</v>
      </c>
    </row>
    <row r="1516" spans="1:5" x14ac:dyDescent="0.25">
      <c r="A1516" s="2">
        <v>864</v>
      </c>
      <c r="B1516" s="2">
        <v>21</v>
      </c>
      <c r="C1516" s="8">
        <v>45778</v>
      </c>
      <c r="D1516" s="2" t="s">
        <v>12</v>
      </c>
      <c r="E1516" s="2" t="s">
        <v>16</v>
      </c>
    </row>
    <row r="1517" spans="1:5" x14ac:dyDescent="0.25">
      <c r="A1517" s="2">
        <v>1324</v>
      </c>
      <c r="B1517" s="2">
        <v>33</v>
      </c>
      <c r="C1517" s="8">
        <v>45846</v>
      </c>
      <c r="D1517" s="2" t="s">
        <v>12</v>
      </c>
      <c r="E1517" s="2" t="s">
        <v>18</v>
      </c>
    </row>
    <row r="1518" spans="1:5" x14ac:dyDescent="0.25">
      <c r="A1518" s="2">
        <v>1176</v>
      </c>
      <c r="B1518" s="2">
        <v>30</v>
      </c>
      <c r="C1518" s="8">
        <v>45836</v>
      </c>
      <c r="D1518" s="2" t="s">
        <v>15</v>
      </c>
      <c r="E1518" s="2" t="s">
        <v>13</v>
      </c>
    </row>
    <row r="1519" spans="1:5" x14ac:dyDescent="0.25">
      <c r="A1519" s="2">
        <v>154</v>
      </c>
      <c r="B1519" s="2">
        <v>3</v>
      </c>
      <c r="C1519" s="8">
        <v>45683</v>
      </c>
      <c r="D1519" s="2" t="s">
        <v>20</v>
      </c>
      <c r="E1519" s="2" t="s">
        <v>13</v>
      </c>
    </row>
    <row r="1520" spans="1:5" x14ac:dyDescent="0.25">
      <c r="A1520" s="2">
        <v>1375</v>
      </c>
      <c r="B1520" s="2">
        <v>34</v>
      </c>
      <c r="C1520" s="8">
        <v>45859</v>
      </c>
      <c r="D1520" s="2" t="s">
        <v>12</v>
      </c>
      <c r="E1520" s="2" t="s">
        <v>13</v>
      </c>
    </row>
    <row r="1521" spans="1:5" x14ac:dyDescent="0.25">
      <c r="A1521" s="2">
        <v>1245</v>
      </c>
      <c r="B1521" s="2">
        <v>32</v>
      </c>
      <c r="C1521" s="8">
        <v>45842</v>
      </c>
      <c r="D1521" s="2" t="s">
        <v>12</v>
      </c>
      <c r="E1521" s="2" t="s">
        <v>13</v>
      </c>
    </row>
    <row r="1522" spans="1:5" x14ac:dyDescent="0.25">
      <c r="A1522" s="2">
        <v>1467</v>
      </c>
      <c r="B1522" s="2">
        <v>38</v>
      </c>
      <c r="C1522" s="8">
        <v>45883</v>
      </c>
      <c r="D1522" s="2" t="s">
        <v>20</v>
      </c>
      <c r="E1522" s="2" t="s">
        <v>18</v>
      </c>
    </row>
    <row r="1523" spans="1:5" x14ac:dyDescent="0.25">
      <c r="A1523" s="2">
        <v>570</v>
      </c>
      <c r="B1523" s="2">
        <v>13</v>
      </c>
      <c r="C1523" s="8">
        <v>45721</v>
      </c>
      <c r="D1523" s="2" t="s">
        <v>12</v>
      </c>
      <c r="E1523" s="2" t="s">
        <v>14</v>
      </c>
    </row>
    <row r="1524" spans="1:5" x14ac:dyDescent="0.25">
      <c r="A1524" s="2">
        <v>1995</v>
      </c>
      <c r="B1524" s="2">
        <v>52</v>
      </c>
      <c r="C1524" s="8">
        <v>45987</v>
      </c>
      <c r="D1524" s="2" t="s">
        <v>15</v>
      </c>
      <c r="E1524" s="2" t="s">
        <v>18</v>
      </c>
    </row>
    <row r="1525" spans="1:5" x14ac:dyDescent="0.25">
      <c r="A1525" s="2">
        <v>1603</v>
      </c>
      <c r="B1525" s="2">
        <v>42</v>
      </c>
      <c r="C1525" s="8">
        <v>45914</v>
      </c>
      <c r="D1525" s="2" t="s">
        <v>20</v>
      </c>
      <c r="E1525" s="2" t="s">
        <v>13</v>
      </c>
    </row>
    <row r="1526" spans="1:5" x14ac:dyDescent="0.25">
      <c r="A1526" s="2">
        <v>446</v>
      </c>
      <c r="B1526" s="2">
        <v>11</v>
      </c>
      <c r="C1526" s="8">
        <v>45728</v>
      </c>
      <c r="D1526" s="2" t="s">
        <v>12</v>
      </c>
      <c r="E1526" s="2" t="s">
        <v>16</v>
      </c>
    </row>
    <row r="1527" spans="1:5" x14ac:dyDescent="0.25">
      <c r="A1527" s="2">
        <v>1080</v>
      </c>
      <c r="B1527" s="2">
        <v>27</v>
      </c>
      <c r="C1527" s="8">
        <v>45833</v>
      </c>
      <c r="D1527" s="2" t="s">
        <v>12</v>
      </c>
      <c r="E1527" s="2" t="s">
        <v>16</v>
      </c>
    </row>
    <row r="1528" spans="1:5" x14ac:dyDescent="0.25">
      <c r="A1528" s="2">
        <v>435</v>
      </c>
      <c r="B1528" s="2">
        <v>10</v>
      </c>
      <c r="C1528" s="8">
        <v>45699</v>
      </c>
      <c r="D1528" s="2" t="s">
        <v>20</v>
      </c>
      <c r="E1528" s="2" t="s">
        <v>18</v>
      </c>
    </row>
    <row r="1529" spans="1:5" x14ac:dyDescent="0.25">
      <c r="A1529" s="2">
        <v>1233</v>
      </c>
      <c r="B1529" s="2">
        <v>32</v>
      </c>
      <c r="C1529" s="8">
        <v>45849</v>
      </c>
      <c r="D1529" s="2" t="s">
        <v>19</v>
      </c>
      <c r="E1529" s="2" t="s">
        <v>16</v>
      </c>
    </row>
    <row r="1530" spans="1:5" x14ac:dyDescent="0.25">
      <c r="A1530" s="2">
        <v>1826</v>
      </c>
      <c r="B1530" s="2">
        <v>47</v>
      </c>
      <c r="C1530" s="8">
        <v>45931</v>
      </c>
      <c r="D1530" s="2" t="s">
        <v>20</v>
      </c>
      <c r="E1530" s="2" t="s">
        <v>13</v>
      </c>
    </row>
    <row r="1531" spans="1:5" x14ac:dyDescent="0.25">
      <c r="A1531" s="2">
        <v>790</v>
      </c>
      <c r="B1531" s="2">
        <v>19</v>
      </c>
      <c r="C1531" s="8">
        <v>45769</v>
      </c>
      <c r="D1531" s="2" t="s">
        <v>19</v>
      </c>
      <c r="E1531" s="2" t="s">
        <v>18</v>
      </c>
    </row>
    <row r="1532" spans="1:5" x14ac:dyDescent="0.25">
      <c r="A1532" s="2">
        <v>136</v>
      </c>
      <c r="B1532" s="2">
        <v>3</v>
      </c>
      <c r="C1532" s="8">
        <v>45684</v>
      </c>
      <c r="D1532" s="2" t="s">
        <v>12</v>
      </c>
      <c r="E1532" s="2" t="s">
        <v>13</v>
      </c>
    </row>
    <row r="1533" spans="1:5" x14ac:dyDescent="0.25">
      <c r="A1533" s="2">
        <v>1151</v>
      </c>
      <c r="B1533" s="2">
        <v>28</v>
      </c>
      <c r="C1533" s="8">
        <v>45812</v>
      </c>
      <c r="D1533" s="2" t="s">
        <v>15</v>
      </c>
      <c r="E1533" s="2" t="s">
        <v>16</v>
      </c>
    </row>
    <row r="1534" spans="1:5" x14ac:dyDescent="0.25">
      <c r="A1534" s="2">
        <v>477</v>
      </c>
      <c r="B1534" s="2">
        <v>12</v>
      </c>
      <c r="C1534" s="8">
        <v>45718</v>
      </c>
      <c r="D1534" s="2" t="s">
        <v>20</v>
      </c>
      <c r="E1534" s="2" t="s">
        <v>13</v>
      </c>
    </row>
    <row r="1535" spans="1:5" x14ac:dyDescent="0.25">
      <c r="A1535" s="2">
        <v>659</v>
      </c>
      <c r="B1535" s="2">
        <v>17</v>
      </c>
      <c r="C1535" s="8">
        <v>45763</v>
      </c>
      <c r="D1535" s="2" t="s">
        <v>19</v>
      </c>
      <c r="E1535" s="2" t="s">
        <v>18</v>
      </c>
    </row>
    <row r="1536" spans="1:5" x14ac:dyDescent="0.25">
      <c r="A1536" s="2">
        <v>1163</v>
      </c>
      <c r="B1536" s="2">
        <v>29</v>
      </c>
      <c r="C1536" s="8">
        <v>45813</v>
      </c>
      <c r="D1536" s="2" t="s">
        <v>12</v>
      </c>
      <c r="E1536" s="2" t="s">
        <v>16</v>
      </c>
    </row>
    <row r="1537" spans="1:5" x14ac:dyDescent="0.25">
      <c r="A1537" s="2">
        <v>954</v>
      </c>
      <c r="B1537" s="2">
        <v>23</v>
      </c>
      <c r="C1537" s="8">
        <v>45805</v>
      </c>
      <c r="D1537" s="2" t="s">
        <v>12</v>
      </c>
      <c r="E1537" s="2" t="s">
        <v>16</v>
      </c>
    </row>
    <row r="1538" spans="1:5" x14ac:dyDescent="0.25">
      <c r="A1538" s="2">
        <v>438</v>
      </c>
      <c r="B1538" s="2">
        <v>10</v>
      </c>
      <c r="C1538" s="8">
        <v>45690</v>
      </c>
      <c r="D1538" s="2" t="s">
        <v>15</v>
      </c>
      <c r="E1538" s="2" t="s">
        <v>16</v>
      </c>
    </row>
    <row r="1539" spans="1:5" x14ac:dyDescent="0.25">
      <c r="A1539" s="2">
        <v>674</v>
      </c>
      <c r="B1539" s="2">
        <v>17</v>
      </c>
      <c r="C1539" s="8">
        <v>45750</v>
      </c>
      <c r="D1539" s="2" t="s">
        <v>15</v>
      </c>
      <c r="E1539" s="2" t="s">
        <v>16</v>
      </c>
    </row>
    <row r="1540" spans="1:5" x14ac:dyDescent="0.25">
      <c r="A1540" s="2">
        <v>1469</v>
      </c>
      <c r="B1540" s="2">
        <v>38</v>
      </c>
      <c r="C1540" s="8">
        <v>45875</v>
      </c>
      <c r="D1540" s="2" t="s">
        <v>12</v>
      </c>
      <c r="E1540" s="2" t="s">
        <v>18</v>
      </c>
    </row>
    <row r="1541" spans="1:5" x14ac:dyDescent="0.25">
      <c r="A1541" s="2">
        <v>23</v>
      </c>
      <c r="B1541" s="2">
        <v>1</v>
      </c>
      <c r="C1541" s="8">
        <v>45683</v>
      </c>
      <c r="D1541" s="2" t="s">
        <v>20</v>
      </c>
      <c r="E1541" s="2" t="s">
        <v>18</v>
      </c>
    </row>
    <row r="1542" spans="1:5" x14ac:dyDescent="0.25">
      <c r="A1542" s="2">
        <v>1410</v>
      </c>
      <c r="B1542" s="2">
        <v>36</v>
      </c>
      <c r="C1542" s="8">
        <v>45881</v>
      </c>
      <c r="D1542" s="2" t="s">
        <v>20</v>
      </c>
      <c r="E1542" s="2" t="s">
        <v>13</v>
      </c>
    </row>
    <row r="1543" spans="1:5" x14ac:dyDescent="0.25">
      <c r="A1543" s="2">
        <v>1588</v>
      </c>
      <c r="B1543" s="2">
        <v>42</v>
      </c>
      <c r="C1543" s="8">
        <v>45928</v>
      </c>
      <c r="D1543" s="2" t="s">
        <v>12</v>
      </c>
      <c r="E1543" s="2" t="s">
        <v>16</v>
      </c>
    </row>
    <row r="1544" spans="1:5" x14ac:dyDescent="0.25">
      <c r="A1544" s="2">
        <v>20</v>
      </c>
      <c r="B1544" s="2">
        <v>1</v>
      </c>
      <c r="C1544" s="8" t="s">
        <v>43</v>
      </c>
      <c r="D1544" s="2" t="s">
        <v>15</v>
      </c>
      <c r="E1544" s="2" t="s">
        <v>18</v>
      </c>
    </row>
    <row r="1545" spans="1:5" x14ac:dyDescent="0.25">
      <c r="A1545" s="2">
        <v>251</v>
      </c>
      <c r="B1545" s="2">
        <v>6</v>
      </c>
      <c r="C1545" s="8">
        <v>45712</v>
      </c>
      <c r="D1545" s="2" t="s">
        <v>20</v>
      </c>
      <c r="E1545" s="2" t="s">
        <v>18</v>
      </c>
    </row>
    <row r="1546" spans="1:5" x14ac:dyDescent="0.25">
      <c r="A1546" s="2">
        <v>644</v>
      </c>
      <c r="B1546" s="2">
        <v>16</v>
      </c>
      <c r="C1546" s="8">
        <v>45755</v>
      </c>
      <c r="D1546" s="2" t="s">
        <v>12</v>
      </c>
      <c r="E1546" s="2" t="s">
        <v>13</v>
      </c>
    </row>
    <row r="1547" spans="1:5" x14ac:dyDescent="0.25">
      <c r="A1547" s="2">
        <v>298</v>
      </c>
      <c r="B1547" s="2">
        <v>7</v>
      </c>
      <c r="C1547" s="8">
        <v>45694</v>
      </c>
      <c r="D1547" s="2" t="s">
        <v>12</v>
      </c>
      <c r="E1547" s="2" t="s">
        <v>18</v>
      </c>
    </row>
    <row r="1548" spans="1:5" x14ac:dyDescent="0.25">
      <c r="A1548" s="2">
        <v>1552</v>
      </c>
      <c r="B1548" s="2">
        <v>40</v>
      </c>
      <c r="C1548" s="8">
        <v>45885</v>
      </c>
      <c r="D1548" s="2" t="s">
        <v>15</v>
      </c>
      <c r="E1548" s="2" t="s">
        <v>16</v>
      </c>
    </row>
    <row r="1549" spans="1:5" x14ac:dyDescent="0.25">
      <c r="A1549" s="2">
        <v>762</v>
      </c>
      <c r="B1549" s="2">
        <v>18</v>
      </c>
      <c r="C1549" s="8">
        <v>45748</v>
      </c>
      <c r="D1549" s="2" t="s">
        <v>12</v>
      </c>
      <c r="E1549" s="2" t="s">
        <v>16</v>
      </c>
    </row>
    <row r="1550" spans="1:5" x14ac:dyDescent="0.25">
      <c r="A1550" s="2">
        <v>1346</v>
      </c>
      <c r="B1550" s="2">
        <v>33</v>
      </c>
      <c r="C1550" s="8">
        <v>45860</v>
      </c>
      <c r="D1550" s="2" t="s">
        <v>17</v>
      </c>
      <c r="E1550" s="2" t="s">
        <v>16</v>
      </c>
    </row>
    <row r="1551" spans="1:5" x14ac:dyDescent="0.25">
      <c r="A1551" s="2">
        <v>441</v>
      </c>
      <c r="B1551" s="2">
        <v>11</v>
      </c>
      <c r="C1551" s="8">
        <v>45736</v>
      </c>
      <c r="D1551" s="2" t="s">
        <v>19</v>
      </c>
      <c r="E1551" s="2" t="s">
        <v>13</v>
      </c>
    </row>
    <row r="1552" spans="1:5" x14ac:dyDescent="0.25">
      <c r="A1552" s="2">
        <v>149</v>
      </c>
      <c r="B1552" s="2">
        <v>3</v>
      </c>
      <c r="C1552" s="8">
        <v>45678</v>
      </c>
      <c r="D1552" s="2" t="s">
        <v>12</v>
      </c>
      <c r="E1552" s="2" t="s">
        <v>18</v>
      </c>
    </row>
    <row r="1553" spans="1:5" x14ac:dyDescent="0.25">
      <c r="A1553" s="2">
        <v>1721</v>
      </c>
      <c r="B1553" s="2">
        <v>44</v>
      </c>
      <c r="C1553" s="8">
        <v>45921</v>
      </c>
      <c r="D1553" s="2" t="s">
        <v>19</v>
      </c>
      <c r="E1553" s="2" t="s">
        <v>16</v>
      </c>
    </row>
    <row r="1554" spans="1:5" x14ac:dyDescent="0.25">
      <c r="A1554" s="2">
        <v>733</v>
      </c>
      <c r="B1554" s="2">
        <v>18</v>
      </c>
      <c r="C1554" s="8">
        <v>45757</v>
      </c>
      <c r="D1554" s="2" t="s">
        <v>19</v>
      </c>
      <c r="E1554" s="2" t="s">
        <v>13</v>
      </c>
    </row>
    <row r="1555" spans="1:5" x14ac:dyDescent="0.25">
      <c r="A1555" s="2">
        <v>381</v>
      </c>
      <c r="B1555" s="2">
        <v>9</v>
      </c>
      <c r="C1555" s="8">
        <v>45697</v>
      </c>
      <c r="D1555" s="2" t="s">
        <v>12</v>
      </c>
      <c r="E1555" s="2" t="s">
        <v>14</v>
      </c>
    </row>
    <row r="1556" spans="1:5" x14ac:dyDescent="0.25">
      <c r="A1556" s="2">
        <v>1583</v>
      </c>
      <c r="B1556" s="2">
        <v>42</v>
      </c>
      <c r="C1556" s="8">
        <v>45927</v>
      </c>
      <c r="D1556" s="2" t="s">
        <v>12</v>
      </c>
      <c r="E1556" s="2" t="s">
        <v>18</v>
      </c>
    </row>
    <row r="1557" spans="1:5" x14ac:dyDescent="0.25">
      <c r="A1557" s="2">
        <v>1880</v>
      </c>
      <c r="B1557" s="2">
        <v>48</v>
      </c>
      <c r="C1557" s="8">
        <v>45957</v>
      </c>
      <c r="D1557" s="2" t="s">
        <v>20</v>
      </c>
      <c r="E1557" s="2" t="s">
        <v>13</v>
      </c>
    </row>
    <row r="1558" spans="1:5" x14ac:dyDescent="0.25">
      <c r="A1558" s="2">
        <v>1670</v>
      </c>
      <c r="B1558" s="2">
        <v>43</v>
      </c>
      <c r="C1558" s="8">
        <v>45918</v>
      </c>
      <c r="D1558" s="2" t="s">
        <v>12</v>
      </c>
      <c r="E1558" s="2" t="s">
        <v>16</v>
      </c>
    </row>
    <row r="1559" spans="1:5" x14ac:dyDescent="0.25">
      <c r="A1559" s="2">
        <v>1846</v>
      </c>
      <c r="B1559" s="2">
        <v>48</v>
      </c>
      <c r="C1559" s="8">
        <v>45938</v>
      </c>
      <c r="D1559" s="2" t="s">
        <v>20</v>
      </c>
      <c r="E1559" s="2" t="s">
        <v>18</v>
      </c>
    </row>
    <row r="1560" spans="1:5" x14ac:dyDescent="0.25">
      <c r="A1560" s="2">
        <v>816</v>
      </c>
      <c r="B1560" s="2">
        <v>20</v>
      </c>
      <c r="C1560" s="8">
        <v>45754</v>
      </c>
      <c r="D1560" s="2" t="s">
        <v>20</v>
      </c>
      <c r="E1560" s="2" t="s">
        <v>18</v>
      </c>
    </row>
    <row r="1561" spans="1:5" x14ac:dyDescent="0.25">
      <c r="A1561" s="2">
        <v>1911</v>
      </c>
      <c r="B1561" s="2">
        <v>49</v>
      </c>
      <c r="C1561" s="8">
        <v>45952</v>
      </c>
      <c r="D1561" s="2" t="s">
        <v>15</v>
      </c>
      <c r="E1561" s="2" t="s">
        <v>16</v>
      </c>
    </row>
    <row r="1562" spans="1:5" x14ac:dyDescent="0.25">
      <c r="A1562" s="2">
        <v>1087</v>
      </c>
      <c r="B1562" s="2">
        <v>27</v>
      </c>
      <c r="C1562" s="8">
        <v>45821</v>
      </c>
      <c r="D1562" s="2" t="s">
        <v>12</v>
      </c>
      <c r="E1562" s="2" t="s">
        <v>16</v>
      </c>
    </row>
    <row r="1563" spans="1:5" x14ac:dyDescent="0.25">
      <c r="A1563" s="2">
        <v>1322</v>
      </c>
      <c r="B1563" s="2">
        <v>33</v>
      </c>
      <c r="C1563" s="8">
        <v>45854</v>
      </c>
      <c r="D1563" s="2" t="s">
        <v>20</v>
      </c>
      <c r="E1563" s="2" t="s">
        <v>18</v>
      </c>
    </row>
    <row r="1564" spans="1:5" x14ac:dyDescent="0.25">
      <c r="A1564" s="2">
        <v>1237</v>
      </c>
      <c r="B1564" s="2">
        <v>32</v>
      </c>
      <c r="C1564" s="8">
        <v>45848</v>
      </c>
      <c r="D1564" s="2" t="s">
        <v>19</v>
      </c>
      <c r="E1564" s="2" t="s">
        <v>16</v>
      </c>
    </row>
    <row r="1565" spans="1:5" x14ac:dyDescent="0.25">
      <c r="A1565" s="2">
        <v>602</v>
      </c>
      <c r="B1565" s="2">
        <v>14</v>
      </c>
      <c r="C1565" s="8">
        <v>45718</v>
      </c>
      <c r="D1565" s="2" t="s">
        <v>12</v>
      </c>
      <c r="E1565" s="2" t="s">
        <v>13</v>
      </c>
    </row>
    <row r="1566" spans="1:5" x14ac:dyDescent="0.25">
      <c r="A1566" s="2">
        <v>840</v>
      </c>
      <c r="B1566" s="2">
        <v>21</v>
      </c>
      <c r="C1566" s="8">
        <v>45783</v>
      </c>
      <c r="D1566" s="2" t="s">
        <v>12</v>
      </c>
      <c r="E1566" s="2" t="s">
        <v>16</v>
      </c>
    </row>
    <row r="1567" spans="1:5" x14ac:dyDescent="0.25">
      <c r="A1567" s="2">
        <v>1202</v>
      </c>
      <c r="B1567" s="2">
        <v>31</v>
      </c>
      <c r="C1567" s="8">
        <v>45844</v>
      </c>
      <c r="D1567" s="2" t="s">
        <v>20</v>
      </c>
      <c r="E1567" s="2" t="s">
        <v>14</v>
      </c>
    </row>
    <row r="1568" spans="1:5" x14ac:dyDescent="0.25">
      <c r="A1568" s="2">
        <v>519</v>
      </c>
      <c r="B1568" s="2">
        <v>13</v>
      </c>
      <c r="C1568" s="8">
        <v>45717</v>
      </c>
      <c r="D1568" s="2" t="s">
        <v>19</v>
      </c>
      <c r="E1568" s="2" t="s">
        <v>18</v>
      </c>
    </row>
    <row r="1569" spans="1:5" x14ac:dyDescent="0.25">
      <c r="A1569" s="2">
        <v>1048</v>
      </c>
      <c r="B1569" s="2">
        <v>27</v>
      </c>
      <c r="C1569" s="8">
        <v>45815</v>
      </c>
      <c r="D1569" s="2" t="s">
        <v>12</v>
      </c>
      <c r="E1569" s="2" t="s">
        <v>16</v>
      </c>
    </row>
    <row r="1570" spans="1:5" x14ac:dyDescent="0.25">
      <c r="A1570" s="2">
        <v>70</v>
      </c>
      <c r="B1570" s="2">
        <v>2</v>
      </c>
      <c r="C1570" s="8">
        <v>45669</v>
      </c>
      <c r="D1570" s="2" t="s">
        <v>19</v>
      </c>
      <c r="E1570" s="2" t="s">
        <v>13</v>
      </c>
    </row>
    <row r="1571" spans="1:5" x14ac:dyDescent="0.25">
      <c r="A1571" s="2">
        <v>343</v>
      </c>
      <c r="B1571" s="2">
        <v>8</v>
      </c>
      <c r="C1571" s="8">
        <v>45697</v>
      </c>
      <c r="D1571" s="2" t="s">
        <v>19</v>
      </c>
      <c r="E1571" s="2" t="s">
        <v>16</v>
      </c>
    </row>
    <row r="1572" spans="1:5" x14ac:dyDescent="0.25">
      <c r="A1572" s="2">
        <v>2069</v>
      </c>
      <c r="B1572" s="2">
        <v>56</v>
      </c>
      <c r="C1572" s="8">
        <v>46005</v>
      </c>
      <c r="D1572" s="2" t="s">
        <v>15</v>
      </c>
      <c r="E1572" s="2" t="s">
        <v>16</v>
      </c>
    </row>
    <row r="1573" spans="1:5" x14ac:dyDescent="0.25">
      <c r="A1573" s="2">
        <v>132</v>
      </c>
      <c r="B1573" s="2">
        <v>3</v>
      </c>
      <c r="C1573" s="8">
        <v>45684</v>
      </c>
      <c r="D1573" s="2" t="s">
        <v>15</v>
      </c>
      <c r="E1573" s="2" t="s">
        <v>13</v>
      </c>
    </row>
    <row r="1574" spans="1:5" x14ac:dyDescent="0.25">
      <c r="A1574" s="2">
        <v>1296</v>
      </c>
      <c r="B1574" s="2">
        <v>33</v>
      </c>
      <c r="C1574" s="8">
        <v>45840</v>
      </c>
      <c r="D1574" s="2" t="s">
        <v>12</v>
      </c>
      <c r="E1574" s="2" t="s">
        <v>13</v>
      </c>
    </row>
    <row r="1575" spans="1:5" x14ac:dyDescent="0.25">
      <c r="A1575" s="2">
        <v>766</v>
      </c>
      <c r="B1575" s="2">
        <v>18</v>
      </c>
      <c r="C1575" s="8">
        <v>45756</v>
      </c>
      <c r="D1575" s="2" t="s">
        <v>15</v>
      </c>
      <c r="E1575" s="2" t="s">
        <v>18</v>
      </c>
    </row>
    <row r="1576" spans="1:5" x14ac:dyDescent="0.25">
      <c r="A1576" s="2">
        <v>723</v>
      </c>
      <c r="B1576" s="2">
        <v>18</v>
      </c>
      <c r="C1576" s="8">
        <v>45767</v>
      </c>
      <c r="D1576" s="2" t="s">
        <v>20</v>
      </c>
      <c r="E1576" s="2" t="s">
        <v>18</v>
      </c>
    </row>
    <row r="1577" spans="1:5" x14ac:dyDescent="0.25">
      <c r="A1577" s="2">
        <v>1665</v>
      </c>
      <c r="B1577" s="2">
        <v>43</v>
      </c>
      <c r="C1577" s="8">
        <v>45906</v>
      </c>
      <c r="D1577" s="2" t="s">
        <v>17</v>
      </c>
      <c r="E1577" s="2" t="s">
        <v>13</v>
      </c>
    </row>
    <row r="1578" spans="1:5" x14ac:dyDescent="0.25">
      <c r="A1578" s="2">
        <v>410</v>
      </c>
      <c r="B1578" s="2">
        <v>9</v>
      </c>
      <c r="C1578" s="8">
        <v>45706</v>
      </c>
      <c r="D1578" s="2" t="s">
        <v>20</v>
      </c>
      <c r="E1578" s="2" t="s">
        <v>14</v>
      </c>
    </row>
    <row r="1579" spans="1:5" x14ac:dyDescent="0.25">
      <c r="A1579" s="2">
        <v>880</v>
      </c>
      <c r="B1579" s="2">
        <v>22</v>
      </c>
      <c r="C1579" s="8">
        <v>45789</v>
      </c>
      <c r="D1579" s="2" t="s">
        <v>12</v>
      </c>
      <c r="E1579" s="2" t="s">
        <v>18</v>
      </c>
    </row>
    <row r="1580" spans="1:5" x14ac:dyDescent="0.25">
      <c r="A1580" s="2">
        <v>785</v>
      </c>
      <c r="B1580" s="2">
        <v>19</v>
      </c>
      <c r="C1580" s="8">
        <v>45762</v>
      </c>
      <c r="D1580" s="2" t="s">
        <v>20</v>
      </c>
      <c r="E1580" s="2" t="s">
        <v>13</v>
      </c>
    </row>
    <row r="1581" spans="1:5" x14ac:dyDescent="0.25">
      <c r="A1581" s="2">
        <v>1244</v>
      </c>
      <c r="B1581" s="2">
        <v>32</v>
      </c>
      <c r="C1581" s="8">
        <v>45865</v>
      </c>
      <c r="D1581" s="2" t="s">
        <v>12</v>
      </c>
      <c r="E1581" s="2" t="s">
        <v>16</v>
      </c>
    </row>
    <row r="1582" spans="1:5" x14ac:dyDescent="0.25">
      <c r="A1582" s="2">
        <v>221</v>
      </c>
      <c r="B1582" s="2">
        <v>5</v>
      </c>
      <c r="C1582" s="8">
        <v>45660</v>
      </c>
      <c r="D1582" s="2" t="s">
        <v>20</v>
      </c>
      <c r="E1582" s="2" t="s">
        <v>18</v>
      </c>
    </row>
    <row r="1583" spans="1:5" x14ac:dyDescent="0.25">
      <c r="A1583" s="2">
        <v>1276</v>
      </c>
      <c r="B1583" s="2">
        <v>33</v>
      </c>
      <c r="C1583" s="8">
        <v>45850</v>
      </c>
      <c r="D1583" s="2" t="s">
        <v>20</v>
      </c>
      <c r="E1583" s="2" t="s">
        <v>16</v>
      </c>
    </row>
    <row r="1584" spans="1:5" x14ac:dyDescent="0.25">
      <c r="A1584" s="2">
        <v>653</v>
      </c>
      <c r="B1584" s="2">
        <v>17</v>
      </c>
      <c r="C1584" s="8">
        <v>45763</v>
      </c>
      <c r="D1584" s="2" t="s">
        <v>19</v>
      </c>
      <c r="E1584" s="2" t="s">
        <v>13</v>
      </c>
    </row>
    <row r="1585" spans="1:5" x14ac:dyDescent="0.25">
      <c r="A1585" s="2">
        <v>557</v>
      </c>
      <c r="B1585" s="2">
        <v>13</v>
      </c>
      <c r="C1585" s="8">
        <v>45744</v>
      </c>
      <c r="D1585" s="2" t="s">
        <v>12</v>
      </c>
      <c r="E1585" s="2" t="s">
        <v>13</v>
      </c>
    </row>
    <row r="1586" spans="1:5" x14ac:dyDescent="0.25">
      <c r="A1586" s="2">
        <v>2108</v>
      </c>
      <c r="B1586" s="2">
        <v>58</v>
      </c>
      <c r="C1586" s="8">
        <v>46015</v>
      </c>
      <c r="D1586" s="2" t="s">
        <v>15</v>
      </c>
      <c r="E1586" s="2" t="s">
        <v>13</v>
      </c>
    </row>
    <row r="1587" spans="1:5" x14ac:dyDescent="0.25">
      <c r="A1587" s="2">
        <v>1222</v>
      </c>
      <c r="B1587" s="2">
        <v>32</v>
      </c>
      <c r="C1587" s="8">
        <v>45839</v>
      </c>
      <c r="D1587" s="2" t="s">
        <v>19</v>
      </c>
      <c r="E1587" s="2" t="s">
        <v>13</v>
      </c>
    </row>
    <row r="1588" spans="1:5" x14ac:dyDescent="0.25">
      <c r="A1588" s="2">
        <v>868</v>
      </c>
      <c r="B1588" s="2">
        <v>22</v>
      </c>
      <c r="C1588" s="8">
        <v>45783</v>
      </c>
      <c r="D1588" s="2" t="s">
        <v>12</v>
      </c>
      <c r="E1588" s="2" t="s">
        <v>13</v>
      </c>
    </row>
    <row r="1589" spans="1:5" x14ac:dyDescent="0.25">
      <c r="A1589" s="2">
        <v>2091</v>
      </c>
      <c r="B1589" s="2">
        <v>57</v>
      </c>
      <c r="C1589" s="8">
        <v>45992</v>
      </c>
      <c r="D1589" s="2" t="s">
        <v>15</v>
      </c>
      <c r="E1589" s="2" t="s">
        <v>18</v>
      </c>
    </row>
    <row r="1590" spans="1:5" x14ac:dyDescent="0.25">
      <c r="A1590" s="2">
        <v>888</v>
      </c>
      <c r="B1590" s="2">
        <v>22</v>
      </c>
      <c r="C1590" s="8" t="s">
        <v>44</v>
      </c>
      <c r="D1590" s="2" t="s">
        <v>20</v>
      </c>
      <c r="E1590" s="2" t="s">
        <v>13</v>
      </c>
    </row>
    <row r="1591" spans="1:5" x14ac:dyDescent="0.25">
      <c r="A1591" s="2">
        <v>1000</v>
      </c>
      <c r="B1591" s="2">
        <v>26</v>
      </c>
      <c r="C1591" s="8">
        <v>45829</v>
      </c>
      <c r="D1591" s="2" t="s">
        <v>12</v>
      </c>
      <c r="E1591" s="2" t="s">
        <v>18</v>
      </c>
    </row>
    <row r="1592" spans="1:5" x14ac:dyDescent="0.25">
      <c r="A1592" s="2">
        <v>1479</v>
      </c>
      <c r="B1592" s="2">
        <v>38</v>
      </c>
      <c r="C1592" s="8">
        <v>45897</v>
      </c>
      <c r="D1592" s="2" t="s">
        <v>12</v>
      </c>
      <c r="E1592" s="2" t="s">
        <v>13</v>
      </c>
    </row>
    <row r="1593" spans="1:5" x14ac:dyDescent="0.25">
      <c r="A1593" s="2">
        <v>422</v>
      </c>
      <c r="B1593" s="2">
        <v>10</v>
      </c>
      <c r="C1593" s="8">
        <v>45703</v>
      </c>
      <c r="D1593" s="2" t="s">
        <v>12</v>
      </c>
      <c r="E1593" s="2" t="s">
        <v>18</v>
      </c>
    </row>
    <row r="1594" spans="1:5" x14ac:dyDescent="0.25">
      <c r="A1594" s="2">
        <v>340</v>
      </c>
      <c r="B1594" s="2">
        <v>8</v>
      </c>
      <c r="C1594" s="8">
        <v>45702</v>
      </c>
      <c r="D1594" s="2" t="s">
        <v>19</v>
      </c>
      <c r="E1594" s="2" t="s">
        <v>16</v>
      </c>
    </row>
    <row r="1595" spans="1:5" x14ac:dyDescent="0.25">
      <c r="A1595" s="2">
        <v>639</v>
      </c>
      <c r="B1595" s="2">
        <v>16</v>
      </c>
      <c r="C1595" s="8">
        <v>45760</v>
      </c>
      <c r="D1595" s="2" t="s">
        <v>20</v>
      </c>
      <c r="E1595" s="2" t="s">
        <v>13</v>
      </c>
    </row>
    <row r="1596" spans="1:5" x14ac:dyDescent="0.25">
      <c r="A1596" s="2">
        <v>1204</v>
      </c>
      <c r="B1596" s="2">
        <v>31</v>
      </c>
      <c r="C1596" s="8">
        <v>45857</v>
      </c>
      <c r="D1596" s="2" t="s">
        <v>12</v>
      </c>
      <c r="E1596" s="2" t="s">
        <v>18</v>
      </c>
    </row>
    <row r="1597" spans="1:5" x14ac:dyDescent="0.25">
      <c r="A1597" s="2">
        <v>1570</v>
      </c>
      <c r="B1597" s="2">
        <v>41</v>
      </c>
      <c r="C1597" s="8">
        <v>45908</v>
      </c>
      <c r="D1597" s="2" t="s">
        <v>20</v>
      </c>
      <c r="E1597" s="2" t="s">
        <v>16</v>
      </c>
    </row>
    <row r="1598" spans="1:5" x14ac:dyDescent="0.25">
      <c r="A1598" s="2">
        <v>1196</v>
      </c>
      <c r="B1598" s="2">
        <v>30</v>
      </c>
      <c r="C1598" s="8">
        <v>45834</v>
      </c>
      <c r="D1598" s="2" t="s">
        <v>20</v>
      </c>
      <c r="E1598" s="2" t="s">
        <v>18</v>
      </c>
    </row>
    <row r="1599" spans="1:5" x14ac:dyDescent="0.25">
      <c r="A1599" s="2">
        <v>211</v>
      </c>
      <c r="B1599" s="2">
        <v>4</v>
      </c>
      <c r="C1599" s="8">
        <v>45675</v>
      </c>
      <c r="D1599" s="2" t="s">
        <v>17</v>
      </c>
      <c r="E1599" s="2" t="s">
        <v>16</v>
      </c>
    </row>
    <row r="1600" spans="1:5" x14ac:dyDescent="0.25">
      <c r="A1600" s="2">
        <v>805</v>
      </c>
      <c r="B1600" s="2">
        <v>20</v>
      </c>
      <c r="C1600" s="8">
        <v>45754</v>
      </c>
      <c r="D1600" s="2" t="s">
        <v>12</v>
      </c>
      <c r="E1600" s="2" t="s">
        <v>16</v>
      </c>
    </row>
    <row r="1601" spans="1:5" x14ac:dyDescent="0.25">
      <c r="A1601" s="2">
        <v>2121</v>
      </c>
      <c r="B1601" s="2">
        <v>58</v>
      </c>
      <c r="C1601" s="8">
        <v>46017</v>
      </c>
      <c r="D1601" s="2" t="s">
        <v>20</v>
      </c>
      <c r="E1601" s="2" t="s">
        <v>16</v>
      </c>
    </row>
    <row r="1602" spans="1:5" x14ac:dyDescent="0.25">
      <c r="A1602" s="2">
        <v>1470</v>
      </c>
      <c r="B1602" s="2">
        <v>38</v>
      </c>
      <c r="C1602" s="8">
        <v>45875</v>
      </c>
      <c r="D1602" s="2" t="s">
        <v>20</v>
      </c>
      <c r="E1602" s="2" t="s">
        <v>16</v>
      </c>
    </row>
    <row r="1603" spans="1:5" x14ac:dyDescent="0.25">
      <c r="A1603" s="2">
        <v>1921</v>
      </c>
      <c r="B1603" s="2">
        <v>49</v>
      </c>
      <c r="C1603" s="8">
        <v>45944</v>
      </c>
      <c r="D1603" s="2" t="s">
        <v>20</v>
      </c>
      <c r="E1603" s="2" t="s">
        <v>16</v>
      </c>
    </row>
    <row r="1604" spans="1:5" x14ac:dyDescent="0.25">
      <c r="A1604" s="2">
        <v>406</v>
      </c>
      <c r="B1604" s="2">
        <v>9</v>
      </c>
      <c r="C1604" s="8">
        <v>45706</v>
      </c>
      <c r="D1604" s="2" t="s">
        <v>12</v>
      </c>
      <c r="E1604" s="2" t="s">
        <v>14</v>
      </c>
    </row>
    <row r="1605" spans="1:5" x14ac:dyDescent="0.25">
      <c r="A1605" s="2">
        <v>355</v>
      </c>
      <c r="B1605" s="2">
        <v>8</v>
      </c>
      <c r="C1605" s="8">
        <v>45705</v>
      </c>
      <c r="D1605" s="2" t="s">
        <v>12</v>
      </c>
      <c r="E1605" s="2" t="s">
        <v>16</v>
      </c>
    </row>
    <row r="1606" spans="1:5" x14ac:dyDescent="0.25">
      <c r="A1606" s="2">
        <v>513</v>
      </c>
      <c r="B1606" s="2">
        <v>12</v>
      </c>
      <c r="C1606" s="8">
        <v>45728</v>
      </c>
      <c r="D1606" s="2" t="s">
        <v>12</v>
      </c>
      <c r="E1606" s="2" t="s">
        <v>14</v>
      </c>
    </row>
    <row r="1607" spans="1:5" x14ac:dyDescent="0.25">
      <c r="A1607" s="2">
        <v>396</v>
      </c>
      <c r="B1607" s="2">
        <v>9</v>
      </c>
      <c r="C1607" s="8">
        <v>45707</v>
      </c>
      <c r="D1607" s="2" t="s">
        <v>20</v>
      </c>
      <c r="E1607" s="2" t="s">
        <v>18</v>
      </c>
    </row>
    <row r="1608" spans="1:5" x14ac:dyDescent="0.25">
      <c r="A1608" s="2">
        <v>820</v>
      </c>
      <c r="B1608" s="2">
        <v>20</v>
      </c>
      <c r="C1608" s="8">
        <v>45769</v>
      </c>
      <c r="D1608" s="2" t="s">
        <v>12</v>
      </c>
      <c r="E1608" s="2" t="s">
        <v>18</v>
      </c>
    </row>
    <row r="1609" spans="1:5" x14ac:dyDescent="0.25">
      <c r="A1609" s="2">
        <v>1050</v>
      </c>
      <c r="B1609" s="2">
        <v>27</v>
      </c>
      <c r="C1609" s="8" t="s">
        <v>45</v>
      </c>
      <c r="D1609" s="2" t="s">
        <v>20</v>
      </c>
      <c r="E1609" s="2" t="s">
        <v>13</v>
      </c>
    </row>
    <row r="1610" spans="1:5" x14ac:dyDescent="0.25">
      <c r="A1610" s="2">
        <v>894</v>
      </c>
      <c r="B1610" s="2">
        <v>22</v>
      </c>
      <c r="C1610" s="8">
        <v>45796</v>
      </c>
      <c r="D1610" s="2" t="s">
        <v>19</v>
      </c>
      <c r="E1610" s="2" t="s">
        <v>16</v>
      </c>
    </row>
    <row r="1611" spans="1:5" x14ac:dyDescent="0.25">
      <c r="A1611" s="2">
        <v>1016</v>
      </c>
      <c r="B1611" s="2">
        <v>26</v>
      </c>
      <c r="C1611" s="8">
        <v>45810</v>
      </c>
      <c r="D1611" s="2" t="s">
        <v>12</v>
      </c>
      <c r="E1611" s="2" t="s">
        <v>16</v>
      </c>
    </row>
    <row r="1612" spans="1:5" x14ac:dyDescent="0.25">
      <c r="A1612" s="2">
        <v>1527</v>
      </c>
      <c r="B1612" s="2">
        <v>39</v>
      </c>
      <c r="C1612" s="8">
        <v>45892</v>
      </c>
      <c r="D1612" s="2" t="s">
        <v>12</v>
      </c>
      <c r="E1612" s="2" t="s">
        <v>16</v>
      </c>
    </row>
    <row r="1613" spans="1:5" x14ac:dyDescent="0.25">
      <c r="A1613" s="2">
        <v>957</v>
      </c>
      <c r="B1613" s="2">
        <v>23</v>
      </c>
      <c r="C1613" s="8">
        <v>45779</v>
      </c>
      <c r="D1613" s="2" t="s">
        <v>20</v>
      </c>
      <c r="E1613" s="2" t="s">
        <v>16</v>
      </c>
    </row>
    <row r="1614" spans="1:5" x14ac:dyDescent="0.25">
      <c r="A1614" s="2">
        <v>603</v>
      </c>
      <c r="B1614" s="2">
        <v>14</v>
      </c>
      <c r="C1614" s="8">
        <v>45729</v>
      </c>
      <c r="D1614" s="2" t="s">
        <v>12</v>
      </c>
      <c r="E1614" s="2" t="s">
        <v>13</v>
      </c>
    </row>
    <row r="1615" spans="1:5" x14ac:dyDescent="0.25">
      <c r="A1615" s="2">
        <v>1336</v>
      </c>
      <c r="B1615" s="2">
        <v>33</v>
      </c>
      <c r="C1615" s="8">
        <v>45840</v>
      </c>
      <c r="D1615" s="2" t="s">
        <v>12</v>
      </c>
      <c r="E1615" s="2" t="s">
        <v>16</v>
      </c>
    </row>
    <row r="1616" spans="1:5" x14ac:dyDescent="0.25">
      <c r="A1616" s="2">
        <v>1848</v>
      </c>
      <c r="B1616" s="2">
        <v>48</v>
      </c>
      <c r="C1616" s="8">
        <v>45936</v>
      </c>
      <c r="D1616" s="2" t="s">
        <v>12</v>
      </c>
      <c r="E1616" s="2" t="s">
        <v>16</v>
      </c>
    </row>
    <row r="1617" spans="1:5" x14ac:dyDescent="0.25">
      <c r="A1617" s="2">
        <v>1451</v>
      </c>
      <c r="B1617" s="2">
        <v>38</v>
      </c>
      <c r="C1617" s="8">
        <v>45897</v>
      </c>
      <c r="D1617" s="2" t="s">
        <v>19</v>
      </c>
      <c r="E1617" s="2" t="s">
        <v>13</v>
      </c>
    </row>
    <row r="1618" spans="1:5" x14ac:dyDescent="0.25">
      <c r="A1618" s="2">
        <v>714</v>
      </c>
      <c r="B1618" s="2">
        <v>18</v>
      </c>
      <c r="C1618" s="8">
        <v>45774</v>
      </c>
      <c r="D1618" s="2" t="s">
        <v>12</v>
      </c>
      <c r="E1618" s="2" t="s">
        <v>18</v>
      </c>
    </row>
    <row r="1619" spans="1:5" x14ac:dyDescent="0.25">
      <c r="A1619" s="2">
        <v>189</v>
      </c>
      <c r="B1619" s="2">
        <v>4</v>
      </c>
      <c r="C1619" s="8">
        <v>45684</v>
      </c>
      <c r="D1619" s="2" t="s">
        <v>12</v>
      </c>
      <c r="E1619" s="2" t="s">
        <v>16</v>
      </c>
    </row>
    <row r="1620" spans="1:5" x14ac:dyDescent="0.25">
      <c r="A1620" s="2">
        <v>409</v>
      </c>
      <c r="B1620" s="2">
        <v>9</v>
      </c>
      <c r="C1620" s="8">
        <v>45700</v>
      </c>
      <c r="D1620" s="2" t="s">
        <v>12</v>
      </c>
      <c r="E1620" s="2" t="s">
        <v>13</v>
      </c>
    </row>
    <row r="1621" spans="1:5" x14ac:dyDescent="0.25">
      <c r="A1621" s="2">
        <v>2011</v>
      </c>
      <c r="B1621" s="2">
        <v>53</v>
      </c>
      <c r="C1621" s="8">
        <v>45975</v>
      </c>
      <c r="D1621" s="2" t="s">
        <v>15</v>
      </c>
      <c r="E1621" s="2" t="s">
        <v>13</v>
      </c>
    </row>
    <row r="1622" spans="1:5" x14ac:dyDescent="0.25">
      <c r="A1622" s="2">
        <v>2041</v>
      </c>
      <c r="B1622" s="2">
        <v>53</v>
      </c>
      <c r="C1622" s="8">
        <v>45982</v>
      </c>
      <c r="D1622" s="2" t="s">
        <v>20</v>
      </c>
      <c r="E1622" s="2" t="s">
        <v>18</v>
      </c>
    </row>
    <row r="1623" spans="1:5" x14ac:dyDescent="0.25">
      <c r="A1623" s="2">
        <v>1825</v>
      </c>
      <c r="B1623" s="2">
        <v>47</v>
      </c>
      <c r="C1623" s="8">
        <v>45934</v>
      </c>
      <c r="D1623" s="2" t="s">
        <v>20</v>
      </c>
      <c r="E1623" s="2" t="s">
        <v>16</v>
      </c>
    </row>
    <row r="1624" spans="1:5" x14ac:dyDescent="0.25">
      <c r="A1624" s="2">
        <v>260</v>
      </c>
      <c r="B1624" s="2">
        <v>6</v>
      </c>
      <c r="C1624" s="8">
        <v>45708</v>
      </c>
      <c r="D1624" s="2" t="s">
        <v>20</v>
      </c>
      <c r="E1624" s="2" t="s">
        <v>18</v>
      </c>
    </row>
    <row r="1625" spans="1:5" x14ac:dyDescent="0.25">
      <c r="A1625" s="2">
        <v>1417</v>
      </c>
      <c r="B1625" s="2">
        <v>37</v>
      </c>
      <c r="C1625" s="8">
        <v>45885</v>
      </c>
      <c r="D1625" s="2" t="s">
        <v>20</v>
      </c>
      <c r="E1625" s="2" t="s">
        <v>13</v>
      </c>
    </row>
    <row r="1626" spans="1:5" x14ac:dyDescent="0.25">
      <c r="A1626" s="2">
        <v>1491</v>
      </c>
      <c r="B1626" s="2">
        <v>38</v>
      </c>
      <c r="C1626" s="8">
        <v>45873</v>
      </c>
      <c r="D1626" s="2" t="s">
        <v>20</v>
      </c>
      <c r="E1626" s="2" t="s">
        <v>16</v>
      </c>
    </row>
    <row r="1627" spans="1:5" x14ac:dyDescent="0.25">
      <c r="A1627" s="2">
        <v>171</v>
      </c>
      <c r="B1627" s="2">
        <v>3</v>
      </c>
      <c r="C1627" s="8">
        <v>45672</v>
      </c>
      <c r="D1627" s="2" t="s">
        <v>20</v>
      </c>
      <c r="E1627" s="2" t="s">
        <v>13</v>
      </c>
    </row>
    <row r="1628" spans="1:5" x14ac:dyDescent="0.25">
      <c r="A1628" s="2">
        <v>451</v>
      </c>
      <c r="B1628" s="2">
        <v>11</v>
      </c>
      <c r="C1628" s="8">
        <v>45727</v>
      </c>
      <c r="D1628" s="2" t="s">
        <v>12</v>
      </c>
      <c r="E1628" s="2" t="s">
        <v>16</v>
      </c>
    </row>
    <row r="1629" spans="1:5" x14ac:dyDescent="0.25">
      <c r="A1629" s="2">
        <v>284</v>
      </c>
      <c r="B1629" s="2">
        <v>7</v>
      </c>
      <c r="C1629" s="8">
        <v>45715</v>
      </c>
      <c r="D1629" s="2" t="s">
        <v>12</v>
      </c>
      <c r="E1629" s="2" t="s">
        <v>13</v>
      </c>
    </row>
    <row r="1630" spans="1:5" x14ac:dyDescent="0.25">
      <c r="A1630" s="2">
        <v>671</v>
      </c>
      <c r="B1630" s="2">
        <v>17</v>
      </c>
      <c r="C1630" s="8">
        <v>45774</v>
      </c>
      <c r="D1630" s="2" t="s">
        <v>15</v>
      </c>
      <c r="E1630" s="2" t="s">
        <v>16</v>
      </c>
    </row>
    <row r="1631" spans="1:5" x14ac:dyDescent="0.25">
      <c r="A1631" s="2">
        <v>1646</v>
      </c>
      <c r="B1631" s="2">
        <v>43</v>
      </c>
      <c r="C1631" s="8">
        <v>45907</v>
      </c>
      <c r="D1631" s="2" t="s">
        <v>19</v>
      </c>
      <c r="E1631" s="2" t="s">
        <v>16</v>
      </c>
    </row>
    <row r="1632" spans="1:5" x14ac:dyDescent="0.25">
      <c r="A1632" s="2">
        <v>445</v>
      </c>
      <c r="B1632" s="2">
        <v>11</v>
      </c>
      <c r="C1632" s="8">
        <v>45729</v>
      </c>
      <c r="D1632" s="2" t="s">
        <v>12</v>
      </c>
      <c r="E1632" s="2" t="s">
        <v>16</v>
      </c>
    </row>
    <row r="1633" spans="1:5" x14ac:dyDescent="0.25">
      <c r="A1633" s="2">
        <v>236</v>
      </c>
      <c r="B1633" s="2">
        <v>6</v>
      </c>
      <c r="C1633" s="8">
        <v>45708</v>
      </c>
      <c r="D1633" s="2" t="s">
        <v>12</v>
      </c>
      <c r="E1633" s="2" t="s">
        <v>16</v>
      </c>
    </row>
    <row r="1634" spans="1:5" x14ac:dyDescent="0.25">
      <c r="A1634" s="2">
        <v>748</v>
      </c>
      <c r="B1634" s="2">
        <v>18</v>
      </c>
      <c r="C1634" s="8">
        <v>45748</v>
      </c>
      <c r="D1634" s="2" t="s">
        <v>12</v>
      </c>
      <c r="E1634" s="2" t="s">
        <v>18</v>
      </c>
    </row>
    <row r="1635" spans="1:5" x14ac:dyDescent="0.25">
      <c r="A1635" s="2">
        <v>1936</v>
      </c>
      <c r="B1635" s="2">
        <v>50</v>
      </c>
      <c r="C1635" s="8">
        <v>45941</v>
      </c>
      <c r="D1635" s="2" t="s">
        <v>12</v>
      </c>
      <c r="E1635" s="2" t="s">
        <v>18</v>
      </c>
    </row>
    <row r="1636" spans="1:5" x14ac:dyDescent="0.25">
      <c r="A1636" s="2">
        <v>313</v>
      </c>
      <c r="B1636" s="2">
        <v>8</v>
      </c>
      <c r="C1636" s="8">
        <v>45696</v>
      </c>
      <c r="D1636" s="2" t="s">
        <v>20</v>
      </c>
      <c r="E1636" s="2" t="s">
        <v>18</v>
      </c>
    </row>
    <row r="1637" spans="1:5" x14ac:dyDescent="0.25">
      <c r="A1637" s="2">
        <v>1559</v>
      </c>
      <c r="B1637" s="2">
        <v>41</v>
      </c>
      <c r="C1637" s="8">
        <v>45921</v>
      </c>
      <c r="D1637" s="2" t="s">
        <v>12</v>
      </c>
      <c r="E1637" s="2" t="s">
        <v>18</v>
      </c>
    </row>
    <row r="1638" spans="1:5" x14ac:dyDescent="0.25">
      <c r="A1638" s="2">
        <v>2123</v>
      </c>
      <c r="B1638" s="2">
        <v>58</v>
      </c>
      <c r="C1638" s="8">
        <v>45992</v>
      </c>
      <c r="D1638" s="2" t="s">
        <v>19</v>
      </c>
      <c r="E1638" s="2" t="s">
        <v>13</v>
      </c>
    </row>
    <row r="1639" spans="1:5" x14ac:dyDescent="0.25">
      <c r="A1639" s="2">
        <v>1061</v>
      </c>
      <c r="B1639" s="2">
        <v>27</v>
      </c>
      <c r="C1639" s="8">
        <v>45836</v>
      </c>
      <c r="D1639" s="2" t="s">
        <v>12</v>
      </c>
      <c r="E1639" s="2" t="s">
        <v>13</v>
      </c>
    </row>
    <row r="1640" spans="1:5" x14ac:dyDescent="0.25">
      <c r="A1640" s="2">
        <v>1707</v>
      </c>
      <c r="B1640" s="2">
        <v>44</v>
      </c>
      <c r="C1640" s="8">
        <v>45920</v>
      </c>
      <c r="D1640" s="2" t="s">
        <v>12</v>
      </c>
      <c r="E1640" s="2" t="s">
        <v>16</v>
      </c>
    </row>
    <row r="1641" spans="1:5" x14ac:dyDescent="0.25">
      <c r="A1641" s="2">
        <v>1098</v>
      </c>
      <c r="B1641" s="2">
        <v>28</v>
      </c>
      <c r="C1641" s="8">
        <v>45816</v>
      </c>
      <c r="D1641" s="2" t="s">
        <v>20</v>
      </c>
      <c r="E1641" s="2" t="s">
        <v>16</v>
      </c>
    </row>
    <row r="1642" spans="1:5" x14ac:dyDescent="0.25">
      <c r="A1642" s="2">
        <v>61</v>
      </c>
      <c r="B1642" s="2">
        <v>2</v>
      </c>
      <c r="C1642" s="8">
        <v>45677</v>
      </c>
      <c r="D1642" s="2" t="s">
        <v>12</v>
      </c>
      <c r="E1642" s="2" t="s">
        <v>18</v>
      </c>
    </row>
    <row r="1643" spans="1:5" x14ac:dyDescent="0.25">
      <c r="A1643" s="2">
        <v>1242</v>
      </c>
      <c r="B1643" s="2">
        <v>32</v>
      </c>
      <c r="C1643" s="8">
        <v>45863</v>
      </c>
      <c r="D1643" s="2" t="s">
        <v>12</v>
      </c>
      <c r="E1643" s="2" t="s">
        <v>14</v>
      </c>
    </row>
    <row r="1644" spans="1:5" x14ac:dyDescent="0.25">
      <c r="A1644" s="2">
        <v>1793</v>
      </c>
      <c r="B1644" s="2">
        <v>46</v>
      </c>
      <c r="C1644" s="8">
        <v>45941</v>
      </c>
      <c r="D1644" s="2" t="s">
        <v>12</v>
      </c>
      <c r="E1644" s="2" t="s">
        <v>16</v>
      </c>
    </row>
    <row r="1645" spans="1:5" x14ac:dyDescent="0.25">
      <c r="A1645" s="2">
        <v>250</v>
      </c>
      <c r="B1645" s="2">
        <v>6</v>
      </c>
      <c r="C1645" s="8">
        <v>45705</v>
      </c>
      <c r="D1645" s="2" t="s">
        <v>12</v>
      </c>
      <c r="E1645" s="2" t="s">
        <v>16</v>
      </c>
    </row>
    <row r="1646" spans="1:5" x14ac:dyDescent="0.25">
      <c r="A1646" s="2">
        <v>522</v>
      </c>
      <c r="B1646" s="2">
        <v>13</v>
      </c>
      <c r="C1646" s="8">
        <v>45737</v>
      </c>
      <c r="D1646" s="2" t="s">
        <v>20</v>
      </c>
      <c r="E1646" s="2" t="s">
        <v>16</v>
      </c>
    </row>
    <row r="1647" spans="1:5" x14ac:dyDescent="0.25">
      <c r="A1647" s="2">
        <v>1803</v>
      </c>
      <c r="B1647" s="2">
        <v>47</v>
      </c>
      <c r="C1647" s="8">
        <v>45945</v>
      </c>
      <c r="D1647" s="2" t="s">
        <v>20</v>
      </c>
      <c r="E1647" s="2" t="s">
        <v>13</v>
      </c>
    </row>
    <row r="1648" spans="1:5" x14ac:dyDescent="0.25">
      <c r="A1648" s="2">
        <v>1069</v>
      </c>
      <c r="B1648" s="2">
        <v>27</v>
      </c>
      <c r="C1648" s="8">
        <v>45813</v>
      </c>
      <c r="D1648" s="2" t="s">
        <v>12</v>
      </c>
      <c r="E1648" s="2" t="s">
        <v>18</v>
      </c>
    </row>
    <row r="1649" spans="1:5" x14ac:dyDescent="0.25">
      <c r="A1649" s="2">
        <v>1776</v>
      </c>
      <c r="B1649" s="2">
        <v>46</v>
      </c>
      <c r="C1649" s="8">
        <v>45935</v>
      </c>
      <c r="D1649" s="2" t="s">
        <v>12</v>
      </c>
      <c r="E1649" s="2" t="s">
        <v>14</v>
      </c>
    </row>
    <row r="1650" spans="1:5" x14ac:dyDescent="0.25">
      <c r="A1650" s="2">
        <v>11</v>
      </c>
      <c r="B1650" s="2">
        <v>1</v>
      </c>
      <c r="C1650" s="8">
        <v>45664</v>
      </c>
      <c r="D1650" s="2" t="s">
        <v>15</v>
      </c>
      <c r="E1650" s="2" t="s">
        <v>18</v>
      </c>
    </row>
    <row r="1651" spans="1:5" x14ac:dyDescent="0.25">
      <c r="A1651" s="2">
        <v>1120</v>
      </c>
      <c r="B1651" s="2">
        <v>28</v>
      </c>
      <c r="C1651" s="8">
        <v>45823</v>
      </c>
      <c r="D1651" s="2" t="s">
        <v>15</v>
      </c>
      <c r="E1651" s="2" t="s">
        <v>16</v>
      </c>
    </row>
    <row r="1652" spans="1:5" x14ac:dyDescent="0.25">
      <c r="A1652" s="2">
        <v>1824</v>
      </c>
      <c r="B1652" s="2">
        <v>47</v>
      </c>
      <c r="C1652" s="8">
        <v>45956</v>
      </c>
      <c r="D1652" s="2" t="s">
        <v>12</v>
      </c>
      <c r="E1652" s="2" t="s">
        <v>16</v>
      </c>
    </row>
    <row r="1653" spans="1:5" x14ac:dyDescent="0.25">
      <c r="A1653" s="2">
        <v>1258</v>
      </c>
      <c r="B1653" s="2">
        <v>32</v>
      </c>
      <c r="C1653" s="8">
        <v>45848</v>
      </c>
      <c r="D1653" s="2" t="s">
        <v>17</v>
      </c>
      <c r="E1653" s="2" t="s">
        <v>16</v>
      </c>
    </row>
    <row r="1654" spans="1:5" x14ac:dyDescent="0.25">
      <c r="A1654" s="2">
        <v>992</v>
      </c>
      <c r="B1654" s="2">
        <v>25</v>
      </c>
      <c r="C1654" s="8">
        <v>45789</v>
      </c>
      <c r="D1654" s="2" t="s">
        <v>20</v>
      </c>
      <c r="E1654" s="2" t="s">
        <v>16</v>
      </c>
    </row>
    <row r="1655" spans="1:5" x14ac:dyDescent="0.25">
      <c r="A1655" s="2">
        <v>711</v>
      </c>
      <c r="B1655" s="2">
        <v>18</v>
      </c>
      <c r="C1655" s="8">
        <v>45774</v>
      </c>
      <c r="D1655" s="2" t="s">
        <v>19</v>
      </c>
      <c r="E1655" s="2" t="s">
        <v>13</v>
      </c>
    </row>
    <row r="1656" spans="1:5" x14ac:dyDescent="0.25">
      <c r="A1656" s="2">
        <v>703</v>
      </c>
      <c r="B1656" s="2">
        <v>18</v>
      </c>
      <c r="C1656" s="8">
        <v>45769</v>
      </c>
      <c r="D1656" s="2" t="s">
        <v>19</v>
      </c>
      <c r="E1656" s="2" t="s">
        <v>18</v>
      </c>
    </row>
    <row r="1657" spans="1:5" x14ac:dyDescent="0.25">
      <c r="A1657" s="2">
        <v>241</v>
      </c>
      <c r="B1657" s="2">
        <v>6</v>
      </c>
      <c r="C1657" s="8">
        <v>45700</v>
      </c>
      <c r="D1657" s="2" t="s">
        <v>12</v>
      </c>
      <c r="E1657" s="2" t="s">
        <v>18</v>
      </c>
    </row>
    <row r="1658" spans="1:5" x14ac:dyDescent="0.25">
      <c r="A1658" s="2">
        <v>65</v>
      </c>
      <c r="B1658" s="2">
        <v>2</v>
      </c>
      <c r="C1658" s="8">
        <v>45679</v>
      </c>
      <c r="D1658" s="2" t="s">
        <v>12</v>
      </c>
      <c r="E1658" s="2" t="s">
        <v>13</v>
      </c>
    </row>
    <row r="1659" spans="1:5" x14ac:dyDescent="0.25">
      <c r="A1659" s="2">
        <v>1243</v>
      </c>
      <c r="B1659" s="2">
        <v>32</v>
      </c>
      <c r="C1659" s="8">
        <v>45853</v>
      </c>
      <c r="D1659" s="2" t="s">
        <v>20</v>
      </c>
      <c r="E1659" s="2" t="s">
        <v>18</v>
      </c>
    </row>
    <row r="1660" spans="1:5" x14ac:dyDescent="0.25">
      <c r="A1660" s="2">
        <v>1293</v>
      </c>
      <c r="B1660" s="2">
        <v>33</v>
      </c>
      <c r="C1660" s="8">
        <v>45845</v>
      </c>
      <c r="D1660" s="2" t="s">
        <v>12</v>
      </c>
      <c r="E1660" s="2" t="s">
        <v>18</v>
      </c>
    </row>
    <row r="1661" spans="1:5" x14ac:dyDescent="0.25">
      <c r="A1661" s="2">
        <v>1162</v>
      </c>
      <c r="B1661" s="2">
        <v>29</v>
      </c>
      <c r="C1661" s="8">
        <v>45830</v>
      </c>
      <c r="D1661" s="2" t="s">
        <v>12</v>
      </c>
      <c r="E1661" s="2" t="s">
        <v>16</v>
      </c>
    </row>
    <row r="1662" spans="1:5" x14ac:dyDescent="0.25">
      <c r="A1662" s="2">
        <v>1713</v>
      </c>
      <c r="B1662" s="2">
        <v>44</v>
      </c>
      <c r="C1662" s="8">
        <v>45970</v>
      </c>
      <c r="D1662" s="2" t="s">
        <v>12</v>
      </c>
      <c r="E1662" s="2" t="s">
        <v>13</v>
      </c>
    </row>
    <row r="1663" spans="1:5" x14ac:dyDescent="0.25">
      <c r="A1663" s="2">
        <v>2129</v>
      </c>
      <c r="B1663" s="2">
        <v>59</v>
      </c>
      <c r="C1663" s="8">
        <v>46008</v>
      </c>
      <c r="D1663" s="2" t="s">
        <v>12</v>
      </c>
      <c r="E1663" s="2" t="s">
        <v>13</v>
      </c>
    </row>
    <row r="1664" spans="1:5" x14ac:dyDescent="0.25">
      <c r="A1664" s="2">
        <v>1996</v>
      </c>
      <c r="B1664" s="2">
        <v>52</v>
      </c>
      <c r="C1664" s="8">
        <v>45978</v>
      </c>
      <c r="D1664" s="2" t="s">
        <v>19</v>
      </c>
      <c r="E1664" s="2" t="s">
        <v>14</v>
      </c>
    </row>
    <row r="1665" spans="1:5" x14ac:dyDescent="0.25">
      <c r="A1665" s="2">
        <v>612</v>
      </c>
      <c r="B1665" s="2">
        <v>14</v>
      </c>
      <c r="C1665" s="8">
        <v>45718</v>
      </c>
      <c r="D1665" s="2" t="s">
        <v>17</v>
      </c>
      <c r="E1665" s="2" t="s">
        <v>14</v>
      </c>
    </row>
    <row r="1666" spans="1:5" x14ac:dyDescent="0.25">
      <c r="A1666" s="2">
        <v>369</v>
      </c>
      <c r="B1666" s="2">
        <v>8</v>
      </c>
      <c r="C1666" s="8">
        <v>45693</v>
      </c>
      <c r="D1666" s="2" t="s">
        <v>12</v>
      </c>
      <c r="E1666" s="2" t="s">
        <v>16</v>
      </c>
    </row>
    <row r="1667" spans="1:5" x14ac:dyDescent="0.25">
      <c r="A1667" s="2">
        <v>2006</v>
      </c>
      <c r="B1667" s="2">
        <v>53</v>
      </c>
      <c r="C1667" s="8">
        <v>45963</v>
      </c>
      <c r="D1667" s="2" t="s">
        <v>12</v>
      </c>
      <c r="E1667" s="2" t="s">
        <v>16</v>
      </c>
    </row>
    <row r="1668" spans="1:5" x14ac:dyDescent="0.25">
      <c r="A1668" s="2">
        <v>1656</v>
      </c>
      <c r="B1668" s="2">
        <v>43</v>
      </c>
      <c r="C1668" s="8">
        <v>45924</v>
      </c>
      <c r="D1668" s="2" t="s">
        <v>19</v>
      </c>
      <c r="E1668" s="2" t="s">
        <v>16</v>
      </c>
    </row>
    <row r="1669" spans="1:5" x14ac:dyDescent="0.25">
      <c r="A1669" s="2">
        <v>924</v>
      </c>
      <c r="B1669" s="2">
        <v>23</v>
      </c>
      <c r="C1669" s="8">
        <v>45799</v>
      </c>
      <c r="D1669" s="2" t="s">
        <v>19</v>
      </c>
      <c r="E1669" s="2" t="s">
        <v>16</v>
      </c>
    </row>
    <row r="1670" spans="1:5" x14ac:dyDescent="0.25">
      <c r="A1670" s="2">
        <v>2066</v>
      </c>
      <c r="B1670" s="2">
        <v>55</v>
      </c>
      <c r="C1670" s="8">
        <v>45982</v>
      </c>
      <c r="D1670" s="2" t="s">
        <v>12</v>
      </c>
      <c r="E1670" s="2" t="s">
        <v>18</v>
      </c>
    </row>
    <row r="1671" spans="1:5" x14ac:dyDescent="0.25">
      <c r="A1671" s="2">
        <v>643</v>
      </c>
      <c r="B1671" s="2">
        <v>16</v>
      </c>
      <c r="C1671" s="8">
        <v>45758</v>
      </c>
      <c r="D1671" s="2" t="s">
        <v>20</v>
      </c>
      <c r="E1671" s="2" t="s">
        <v>16</v>
      </c>
    </row>
    <row r="1672" spans="1:5" x14ac:dyDescent="0.25">
      <c r="A1672" s="2">
        <v>769</v>
      </c>
      <c r="B1672" s="2">
        <v>18</v>
      </c>
      <c r="C1672" s="8">
        <v>45748</v>
      </c>
      <c r="D1672" s="2" t="s">
        <v>15</v>
      </c>
      <c r="E1672" s="2" t="s">
        <v>18</v>
      </c>
    </row>
    <row r="1673" spans="1:5" x14ac:dyDescent="0.25">
      <c r="A1673" s="2">
        <v>2033</v>
      </c>
      <c r="B1673" s="2">
        <v>53</v>
      </c>
      <c r="C1673" s="8">
        <v>45962</v>
      </c>
      <c r="D1673" s="2" t="s">
        <v>12</v>
      </c>
      <c r="E1673" s="2" t="s">
        <v>13</v>
      </c>
    </row>
    <row r="1674" spans="1:5" x14ac:dyDescent="0.25">
      <c r="A1674" s="2">
        <v>1408</v>
      </c>
      <c r="B1674" s="2">
        <v>36</v>
      </c>
      <c r="C1674" s="8">
        <v>45887</v>
      </c>
      <c r="D1674" s="2" t="s">
        <v>12</v>
      </c>
      <c r="E1674" s="2" t="s">
        <v>18</v>
      </c>
    </row>
    <row r="1675" spans="1:5" x14ac:dyDescent="0.25">
      <c r="A1675" s="2">
        <v>431</v>
      </c>
      <c r="B1675" s="2">
        <v>10</v>
      </c>
      <c r="C1675" s="8">
        <v>45710</v>
      </c>
      <c r="D1675" s="2" t="s">
        <v>20</v>
      </c>
      <c r="E1675" s="2" t="s">
        <v>16</v>
      </c>
    </row>
    <row r="1676" spans="1:5" x14ac:dyDescent="0.25">
      <c r="A1676" s="2">
        <v>2065</v>
      </c>
      <c r="B1676" s="2">
        <v>55</v>
      </c>
      <c r="C1676" s="8">
        <v>45985</v>
      </c>
      <c r="D1676" s="2" t="s">
        <v>15</v>
      </c>
      <c r="E1676" s="2" t="s">
        <v>18</v>
      </c>
    </row>
    <row r="1677" spans="1:5" x14ac:dyDescent="0.25">
      <c r="A1677" s="2">
        <v>1282</v>
      </c>
      <c r="B1677" s="2">
        <v>33</v>
      </c>
      <c r="C1677" s="8">
        <v>45848</v>
      </c>
      <c r="D1677" s="2" t="s">
        <v>15</v>
      </c>
      <c r="E1677" s="2" t="s">
        <v>16</v>
      </c>
    </row>
    <row r="1678" spans="1:5" x14ac:dyDescent="0.25">
      <c r="A1678" s="2">
        <v>997</v>
      </c>
      <c r="B1678" s="2">
        <v>26</v>
      </c>
      <c r="C1678" s="8">
        <v>45820</v>
      </c>
      <c r="D1678" s="2" t="s">
        <v>15</v>
      </c>
      <c r="E1678" s="2" t="s">
        <v>13</v>
      </c>
    </row>
    <row r="1679" spans="1:5" x14ac:dyDescent="0.25">
      <c r="A1679" s="2">
        <v>151</v>
      </c>
      <c r="B1679" s="2">
        <v>3</v>
      </c>
      <c r="C1679" s="8">
        <v>45667</v>
      </c>
      <c r="D1679" s="2" t="s">
        <v>12</v>
      </c>
      <c r="E1679" s="2" t="s">
        <v>14</v>
      </c>
    </row>
    <row r="1680" spans="1:5" x14ac:dyDescent="0.25">
      <c r="A1680" s="2">
        <v>1914</v>
      </c>
      <c r="B1680" s="2">
        <v>49</v>
      </c>
      <c r="C1680" s="8">
        <v>45955</v>
      </c>
      <c r="D1680" s="2" t="s">
        <v>19</v>
      </c>
      <c r="E1680" s="2" t="s">
        <v>14</v>
      </c>
    </row>
    <row r="1681" spans="1:5" x14ac:dyDescent="0.25">
      <c r="A1681" s="2">
        <v>45</v>
      </c>
      <c r="B1681" s="2">
        <v>2</v>
      </c>
      <c r="C1681" s="8">
        <v>45660</v>
      </c>
      <c r="D1681" s="2" t="s">
        <v>15</v>
      </c>
      <c r="E1681" s="2" t="s">
        <v>16</v>
      </c>
    </row>
    <row r="1682" spans="1:5" x14ac:dyDescent="0.25">
      <c r="A1682" s="2">
        <v>1630</v>
      </c>
      <c r="B1682" s="2">
        <v>42</v>
      </c>
      <c r="C1682" s="8">
        <v>45917</v>
      </c>
      <c r="D1682" s="2" t="s">
        <v>12</v>
      </c>
      <c r="E1682" s="2" t="s">
        <v>16</v>
      </c>
    </row>
    <row r="1683" spans="1:5" x14ac:dyDescent="0.25">
      <c r="A1683" s="2">
        <v>1006</v>
      </c>
      <c r="B1683" s="2">
        <v>26</v>
      </c>
      <c r="C1683" s="8">
        <v>45817</v>
      </c>
      <c r="D1683" s="2" t="s">
        <v>19</v>
      </c>
      <c r="E1683" s="2" t="s">
        <v>18</v>
      </c>
    </row>
    <row r="1684" spans="1:5" x14ac:dyDescent="0.25">
      <c r="A1684" s="2">
        <v>207</v>
      </c>
      <c r="B1684" s="2">
        <v>4</v>
      </c>
      <c r="C1684" s="8">
        <v>45661</v>
      </c>
      <c r="D1684" s="2" t="s">
        <v>20</v>
      </c>
      <c r="E1684" s="2" t="s">
        <v>16</v>
      </c>
    </row>
    <row r="1685" spans="1:5" x14ac:dyDescent="0.25">
      <c r="A1685" s="2">
        <v>801</v>
      </c>
      <c r="B1685" s="2">
        <v>19</v>
      </c>
      <c r="C1685" s="8">
        <v>45748</v>
      </c>
      <c r="D1685" s="2" t="s">
        <v>12</v>
      </c>
      <c r="E1685" s="2" t="s">
        <v>16</v>
      </c>
    </row>
    <row r="1686" spans="1:5" x14ac:dyDescent="0.25">
      <c r="A1686" s="2">
        <v>426</v>
      </c>
      <c r="B1686" s="2">
        <v>10</v>
      </c>
      <c r="C1686" s="8">
        <v>45689</v>
      </c>
      <c r="D1686" s="2" t="s">
        <v>19</v>
      </c>
      <c r="E1686" s="2" t="s">
        <v>13</v>
      </c>
    </row>
    <row r="1687" spans="1:5" x14ac:dyDescent="0.25">
      <c r="A1687" s="2">
        <v>741</v>
      </c>
      <c r="B1687" s="2">
        <v>18</v>
      </c>
      <c r="C1687" s="8">
        <v>45770</v>
      </c>
      <c r="D1687" s="2" t="s">
        <v>17</v>
      </c>
      <c r="E1687" s="2" t="s">
        <v>13</v>
      </c>
    </row>
    <row r="1688" spans="1:5" x14ac:dyDescent="0.25">
      <c r="A1688" s="2">
        <v>1013</v>
      </c>
      <c r="B1688" s="2">
        <v>26</v>
      </c>
      <c r="C1688" s="8">
        <v>45810</v>
      </c>
      <c r="D1688" s="2" t="s">
        <v>20</v>
      </c>
      <c r="E1688" s="2" t="s">
        <v>18</v>
      </c>
    </row>
    <row r="1689" spans="1:5" x14ac:dyDescent="0.25">
      <c r="A1689" s="2">
        <v>159</v>
      </c>
      <c r="B1689" s="2">
        <v>3</v>
      </c>
      <c r="C1689" s="8">
        <v>45683</v>
      </c>
      <c r="D1689" s="2" t="s">
        <v>20</v>
      </c>
      <c r="E1689" s="2" t="s">
        <v>16</v>
      </c>
    </row>
    <row r="1690" spans="1:5" x14ac:dyDescent="0.25">
      <c r="A1690" s="2">
        <v>2104</v>
      </c>
      <c r="B1690" s="2">
        <v>57</v>
      </c>
      <c r="C1690" s="8">
        <v>46003</v>
      </c>
      <c r="D1690" s="2" t="s">
        <v>12</v>
      </c>
      <c r="E1690" s="2" t="s">
        <v>16</v>
      </c>
    </row>
    <row r="1691" spans="1:5" x14ac:dyDescent="0.25">
      <c r="A1691" s="2">
        <v>370</v>
      </c>
      <c r="B1691" s="2">
        <v>8</v>
      </c>
      <c r="C1691" s="8">
        <v>45704</v>
      </c>
      <c r="D1691" s="2" t="s">
        <v>20</v>
      </c>
      <c r="E1691" s="2" t="s">
        <v>16</v>
      </c>
    </row>
    <row r="1692" spans="1:5" x14ac:dyDescent="0.25">
      <c r="A1692" s="2">
        <v>537</v>
      </c>
      <c r="B1692" s="2">
        <v>13</v>
      </c>
      <c r="C1692" s="8">
        <v>45731</v>
      </c>
      <c r="D1692" s="2" t="s">
        <v>15</v>
      </c>
      <c r="E1692" s="2" t="s">
        <v>16</v>
      </c>
    </row>
    <row r="1693" spans="1:5" x14ac:dyDescent="0.25">
      <c r="A1693" s="2">
        <v>579</v>
      </c>
      <c r="B1693" s="2">
        <v>13</v>
      </c>
      <c r="C1693" s="8">
        <v>45728</v>
      </c>
      <c r="D1693" s="2" t="s">
        <v>17</v>
      </c>
      <c r="E1693" s="2" t="s">
        <v>14</v>
      </c>
    </row>
    <row r="1694" spans="1:5" x14ac:dyDescent="0.25">
      <c r="A1694" s="2">
        <v>2043</v>
      </c>
      <c r="B1694" s="2">
        <v>54</v>
      </c>
      <c r="C1694" s="8">
        <v>45977</v>
      </c>
      <c r="D1694" s="2" t="s">
        <v>20</v>
      </c>
      <c r="E1694" s="2" t="s">
        <v>14</v>
      </c>
    </row>
    <row r="1695" spans="1:5" x14ac:dyDescent="0.25">
      <c r="A1695" s="2">
        <v>220</v>
      </c>
      <c r="B1695" s="2">
        <v>5</v>
      </c>
      <c r="C1695" s="8">
        <v>45670</v>
      </c>
      <c r="D1695" s="2" t="s">
        <v>12</v>
      </c>
      <c r="E1695" s="2" t="s">
        <v>13</v>
      </c>
    </row>
    <row r="1696" spans="1:5" x14ac:dyDescent="0.25">
      <c r="A1696" s="2">
        <v>252</v>
      </c>
      <c r="B1696" s="2">
        <v>6</v>
      </c>
      <c r="C1696" s="8">
        <v>45709</v>
      </c>
      <c r="D1696" s="2" t="s">
        <v>12</v>
      </c>
      <c r="E1696" s="2" t="s">
        <v>13</v>
      </c>
    </row>
    <row r="1697" spans="1:5" x14ac:dyDescent="0.25">
      <c r="A1697" s="2">
        <v>1221</v>
      </c>
      <c r="B1697" s="2">
        <v>32</v>
      </c>
      <c r="C1697" s="8">
        <v>45843</v>
      </c>
      <c r="D1697" s="2" t="s">
        <v>15</v>
      </c>
      <c r="E1697" s="2" t="s">
        <v>16</v>
      </c>
    </row>
    <row r="1698" spans="1:5" x14ac:dyDescent="0.25">
      <c r="A1698" s="2">
        <v>941</v>
      </c>
      <c r="B1698" s="2">
        <v>23</v>
      </c>
      <c r="C1698" s="8">
        <v>45786</v>
      </c>
      <c r="D1698" s="2" t="s">
        <v>12</v>
      </c>
      <c r="E1698" s="2" t="s">
        <v>18</v>
      </c>
    </row>
    <row r="1699" spans="1:5" x14ac:dyDescent="0.25">
      <c r="A1699" s="2">
        <v>228</v>
      </c>
      <c r="B1699" s="2">
        <v>6</v>
      </c>
      <c r="C1699" s="8">
        <v>45690</v>
      </c>
      <c r="D1699" s="2" t="s">
        <v>15</v>
      </c>
      <c r="E1699" s="2" t="s">
        <v>13</v>
      </c>
    </row>
    <row r="1700" spans="1:5" x14ac:dyDescent="0.25">
      <c r="A1700" s="2">
        <v>212</v>
      </c>
      <c r="B1700" s="2">
        <v>4</v>
      </c>
      <c r="C1700" s="8">
        <v>45679</v>
      </c>
      <c r="D1700" s="2" t="s">
        <v>20</v>
      </c>
      <c r="E1700" s="2" t="s">
        <v>14</v>
      </c>
    </row>
    <row r="1701" spans="1:5" x14ac:dyDescent="0.25">
      <c r="A1701" s="2">
        <v>1187</v>
      </c>
      <c r="B1701" s="2">
        <v>30</v>
      </c>
      <c r="C1701" s="8">
        <v>45821</v>
      </c>
      <c r="D1701" s="2" t="s">
        <v>20</v>
      </c>
      <c r="E1701" s="2" t="s">
        <v>13</v>
      </c>
    </row>
    <row r="1702" spans="1:5" x14ac:dyDescent="0.25">
      <c r="A1702" s="2">
        <v>1308</v>
      </c>
      <c r="B1702" s="2">
        <v>33</v>
      </c>
      <c r="C1702" s="8">
        <v>45844</v>
      </c>
      <c r="D1702" s="2" t="s">
        <v>12</v>
      </c>
      <c r="E1702" s="2" t="s">
        <v>18</v>
      </c>
    </row>
    <row r="1703" spans="1:5" x14ac:dyDescent="0.25">
      <c r="A1703" s="2">
        <v>48</v>
      </c>
      <c r="B1703" s="2">
        <v>2</v>
      </c>
      <c r="C1703" s="8">
        <v>45661</v>
      </c>
      <c r="D1703" s="2" t="s">
        <v>20</v>
      </c>
      <c r="E1703" s="2" t="s">
        <v>18</v>
      </c>
    </row>
    <row r="1704" spans="1:5" x14ac:dyDescent="0.25">
      <c r="A1704" s="2">
        <v>1761</v>
      </c>
      <c r="B1704" s="2">
        <v>46</v>
      </c>
      <c r="C1704" s="8">
        <v>45951</v>
      </c>
      <c r="D1704" s="2" t="s">
        <v>20</v>
      </c>
      <c r="E1704" s="2" t="s">
        <v>18</v>
      </c>
    </row>
    <row r="1705" spans="1:5" x14ac:dyDescent="0.25">
      <c r="A1705" s="2">
        <v>295</v>
      </c>
      <c r="B1705" s="2">
        <v>7</v>
      </c>
      <c r="C1705" s="8">
        <v>45700</v>
      </c>
      <c r="D1705" s="2" t="s">
        <v>20</v>
      </c>
      <c r="E1705" s="2" t="s">
        <v>18</v>
      </c>
    </row>
    <row r="1706" spans="1:5" x14ac:dyDescent="0.25">
      <c r="A1706" s="2">
        <v>170</v>
      </c>
      <c r="B1706" s="2">
        <v>3</v>
      </c>
      <c r="C1706" s="8">
        <v>45661</v>
      </c>
      <c r="D1706" s="2" t="s">
        <v>12</v>
      </c>
      <c r="E1706" s="2" t="s">
        <v>14</v>
      </c>
    </row>
    <row r="1707" spans="1:5" x14ac:dyDescent="0.25">
      <c r="A1707" s="2">
        <v>564</v>
      </c>
      <c r="B1707" s="2">
        <v>13</v>
      </c>
      <c r="C1707" s="8">
        <v>45872</v>
      </c>
      <c r="D1707" s="2" t="s">
        <v>20</v>
      </c>
      <c r="E1707" s="2" t="s">
        <v>16</v>
      </c>
    </row>
    <row r="1708" spans="1:5" x14ac:dyDescent="0.25">
      <c r="A1708" s="2">
        <v>1788</v>
      </c>
      <c r="B1708" s="2">
        <v>46</v>
      </c>
      <c r="C1708" s="8">
        <v>45952</v>
      </c>
      <c r="D1708" s="2" t="s">
        <v>12</v>
      </c>
      <c r="E1708" s="2" t="s">
        <v>18</v>
      </c>
    </row>
    <row r="1709" spans="1:5" x14ac:dyDescent="0.25">
      <c r="A1709" s="2">
        <v>1889</v>
      </c>
      <c r="B1709" s="2">
        <v>48</v>
      </c>
      <c r="C1709" s="8">
        <v>45946</v>
      </c>
      <c r="D1709" s="2" t="s">
        <v>20</v>
      </c>
      <c r="E1709" s="2" t="s">
        <v>16</v>
      </c>
    </row>
    <row r="1710" spans="1:5" x14ac:dyDescent="0.25">
      <c r="A1710" s="2">
        <v>534</v>
      </c>
      <c r="B1710" s="2">
        <v>13</v>
      </c>
      <c r="C1710" s="8">
        <v>45735</v>
      </c>
      <c r="D1710" s="2" t="s">
        <v>12</v>
      </c>
      <c r="E1710" s="2" t="s">
        <v>18</v>
      </c>
    </row>
    <row r="1711" spans="1:5" x14ac:dyDescent="0.25">
      <c r="A1711" s="2">
        <v>1748</v>
      </c>
      <c r="B1711" s="2">
        <v>45</v>
      </c>
      <c r="C1711" s="8">
        <v>45911</v>
      </c>
      <c r="D1711" s="2" t="s">
        <v>20</v>
      </c>
      <c r="E1711" s="2" t="s">
        <v>18</v>
      </c>
    </row>
    <row r="1712" spans="1:5" x14ac:dyDescent="0.25">
      <c r="A1712" s="2">
        <v>775</v>
      </c>
      <c r="B1712" s="2">
        <v>18</v>
      </c>
      <c r="C1712" s="8">
        <v>45751</v>
      </c>
      <c r="D1712" s="2" t="s">
        <v>12</v>
      </c>
      <c r="E1712" s="2" t="s">
        <v>13</v>
      </c>
    </row>
    <row r="1713" spans="1:5" x14ac:dyDescent="0.25">
      <c r="A1713" s="2">
        <v>1610</v>
      </c>
      <c r="B1713" s="2">
        <v>42</v>
      </c>
      <c r="C1713" s="8">
        <v>45902</v>
      </c>
      <c r="D1713" s="2" t="s">
        <v>19</v>
      </c>
      <c r="E1713" s="2" t="s">
        <v>16</v>
      </c>
    </row>
    <row r="1714" spans="1:5" x14ac:dyDescent="0.25">
      <c r="A1714" s="2">
        <v>1653</v>
      </c>
      <c r="B1714" s="2">
        <v>43</v>
      </c>
      <c r="C1714" s="8">
        <v>45905</v>
      </c>
      <c r="D1714" s="2" t="s">
        <v>20</v>
      </c>
      <c r="E1714" s="2" t="s">
        <v>18</v>
      </c>
    </row>
    <row r="1715" spans="1:5" x14ac:dyDescent="0.25">
      <c r="A1715" s="2">
        <v>1598</v>
      </c>
      <c r="B1715" s="2">
        <v>42</v>
      </c>
      <c r="C1715" s="8">
        <v>45922</v>
      </c>
      <c r="D1715" s="2" t="s">
        <v>20</v>
      </c>
      <c r="E1715" s="2" t="s">
        <v>18</v>
      </c>
    </row>
    <row r="1716" spans="1:5" x14ac:dyDescent="0.25">
      <c r="A1716" s="2">
        <v>1488</v>
      </c>
      <c r="B1716" s="2">
        <v>38</v>
      </c>
      <c r="C1716" s="8">
        <v>45877</v>
      </c>
      <c r="D1716" s="2" t="s">
        <v>20</v>
      </c>
      <c r="E1716" s="2" t="s">
        <v>14</v>
      </c>
    </row>
    <row r="1717" spans="1:5" x14ac:dyDescent="0.25">
      <c r="A1717" s="2">
        <v>503</v>
      </c>
      <c r="B1717" s="2">
        <v>12</v>
      </c>
      <c r="C1717" s="8">
        <v>45726</v>
      </c>
      <c r="D1717" s="2" t="s">
        <v>12</v>
      </c>
      <c r="E1717" s="2" t="s">
        <v>13</v>
      </c>
    </row>
    <row r="1718" spans="1:5" x14ac:dyDescent="0.25">
      <c r="A1718" s="2">
        <v>1807</v>
      </c>
      <c r="B1718" s="2">
        <v>47</v>
      </c>
      <c r="C1718" s="8">
        <v>45943</v>
      </c>
      <c r="D1718" s="2" t="s">
        <v>12</v>
      </c>
      <c r="E1718" s="2" t="s">
        <v>18</v>
      </c>
    </row>
    <row r="1719" spans="1:5" x14ac:dyDescent="0.25">
      <c r="A1719" s="2">
        <v>2009</v>
      </c>
      <c r="B1719" s="2">
        <v>53</v>
      </c>
      <c r="C1719" s="8">
        <v>45965</v>
      </c>
      <c r="D1719" s="2" t="s">
        <v>19</v>
      </c>
      <c r="E1719" s="2" t="s">
        <v>14</v>
      </c>
    </row>
    <row r="1720" spans="1:5" x14ac:dyDescent="0.25">
      <c r="A1720" s="2">
        <v>397</v>
      </c>
      <c r="B1720" s="2">
        <v>9</v>
      </c>
      <c r="C1720" s="8">
        <v>45709</v>
      </c>
      <c r="D1720" s="2" t="s">
        <v>12</v>
      </c>
      <c r="E1720" s="2" t="s">
        <v>18</v>
      </c>
    </row>
    <row r="1721" spans="1:5" x14ac:dyDescent="0.25">
      <c r="A1721" s="2">
        <v>2017</v>
      </c>
      <c r="B1721" s="2">
        <v>53</v>
      </c>
      <c r="C1721" s="8">
        <v>45965</v>
      </c>
      <c r="D1721" s="2" t="s">
        <v>17</v>
      </c>
      <c r="E1721" s="2" t="s">
        <v>18</v>
      </c>
    </row>
    <row r="1722" spans="1:5" x14ac:dyDescent="0.25">
      <c r="A1722" s="2">
        <v>455</v>
      </c>
      <c r="B1722" s="2">
        <v>11</v>
      </c>
      <c r="C1722" s="8">
        <v>45743</v>
      </c>
      <c r="D1722" s="2" t="s">
        <v>15</v>
      </c>
      <c r="E1722" s="2" t="s">
        <v>18</v>
      </c>
    </row>
    <row r="1723" spans="1:5" x14ac:dyDescent="0.25">
      <c r="A1723" s="2">
        <v>1337</v>
      </c>
      <c r="B1723" s="2">
        <v>33</v>
      </c>
      <c r="C1723" s="8">
        <v>45858</v>
      </c>
      <c r="D1723" s="2" t="s">
        <v>12</v>
      </c>
      <c r="E1723" s="2" t="s">
        <v>16</v>
      </c>
    </row>
    <row r="1724" spans="1:5" x14ac:dyDescent="0.25">
      <c r="A1724" s="2">
        <v>491</v>
      </c>
      <c r="B1724" s="2">
        <v>12</v>
      </c>
      <c r="C1724" s="8">
        <v>45737</v>
      </c>
      <c r="D1724" s="2" t="s">
        <v>12</v>
      </c>
      <c r="E1724" s="2" t="s">
        <v>16</v>
      </c>
    </row>
    <row r="1725" spans="1:5" x14ac:dyDescent="0.25">
      <c r="A1725" s="2">
        <v>2088</v>
      </c>
      <c r="B1725" s="2">
        <v>57</v>
      </c>
      <c r="C1725" s="8">
        <v>46013</v>
      </c>
      <c r="D1725" s="2" t="s">
        <v>12</v>
      </c>
      <c r="E1725" s="2" t="s">
        <v>18</v>
      </c>
    </row>
    <row r="1726" spans="1:5" x14ac:dyDescent="0.25">
      <c r="A1726" s="2">
        <v>2127</v>
      </c>
      <c r="B1726" s="2">
        <v>59</v>
      </c>
      <c r="C1726" s="8">
        <v>46002</v>
      </c>
      <c r="D1726" s="2" t="s">
        <v>12</v>
      </c>
      <c r="E1726" s="2" t="s">
        <v>18</v>
      </c>
    </row>
    <row r="1727" spans="1:5" x14ac:dyDescent="0.25">
      <c r="A1727" s="2">
        <v>1593</v>
      </c>
      <c r="B1727" s="2">
        <v>42</v>
      </c>
      <c r="C1727" s="8" t="s">
        <v>46</v>
      </c>
      <c r="D1727" s="2" t="s">
        <v>12</v>
      </c>
      <c r="E1727" s="2" t="s">
        <v>16</v>
      </c>
    </row>
    <row r="1728" spans="1:5" x14ac:dyDescent="0.25">
      <c r="A1728" s="2">
        <v>1767</v>
      </c>
      <c r="B1728" s="2">
        <v>46</v>
      </c>
      <c r="C1728" s="8">
        <v>45957</v>
      </c>
      <c r="D1728" s="2" t="s">
        <v>12</v>
      </c>
      <c r="E1728" s="2" t="s">
        <v>16</v>
      </c>
    </row>
    <row r="1729" spans="1:5" x14ac:dyDescent="0.25">
      <c r="A1729" s="2">
        <v>1952</v>
      </c>
      <c r="B1729" s="2">
        <v>51</v>
      </c>
      <c r="C1729" s="8">
        <v>45980</v>
      </c>
      <c r="D1729" s="2" t="s">
        <v>12</v>
      </c>
      <c r="E1729" s="2" t="s">
        <v>13</v>
      </c>
    </row>
    <row r="1730" spans="1:5" x14ac:dyDescent="0.25">
      <c r="A1730" s="2">
        <v>930</v>
      </c>
      <c r="B1730" s="2">
        <v>23</v>
      </c>
      <c r="C1730" s="8">
        <v>45779</v>
      </c>
      <c r="D1730" s="2" t="s">
        <v>15</v>
      </c>
      <c r="E1730" s="2" t="s">
        <v>18</v>
      </c>
    </row>
    <row r="1731" spans="1:5" x14ac:dyDescent="0.25">
      <c r="A1731" s="2">
        <v>268</v>
      </c>
      <c r="B1731" s="2">
        <v>7</v>
      </c>
      <c r="C1731" s="8">
        <v>45705</v>
      </c>
      <c r="D1731" s="2" t="s">
        <v>12</v>
      </c>
      <c r="E1731" s="2" t="s">
        <v>18</v>
      </c>
    </row>
    <row r="1732" spans="1:5" x14ac:dyDescent="0.25">
      <c r="A1732" s="2">
        <v>1980</v>
      </c>
      <c r="B1732" s="2">
        <v>52</v>
      </c>
      <c r="C1732" s="8">
        <v>45977</v>
      </c>
      <c r="D1732" s="2" t="s">
        <v>20</v>
      </c>
      <c r="E1732" s="2" t="s">
        <v>13</v>
      </c>
    </row>
    <row r="1733" spans="1:5" x14ac:dyDescent="0.25">
      <c r="A1733" s="2">
        <v>1521</v>
      </c>
      <c r="B1733" s="2">
        <v>39</v>
      </c>
      <c r="C1733" s="8">
        <v>45891</v>
      </c>
      <c r="D1733" s="2" t="s">
        <v>20</v>
      </c>
      <c r="E1733" s="2" t="s">
        <v>16</v>
      </c>
    </row>
    <row r="1734" spans="1:5" x14ac:dyDescent="0.25">
      <c r="A1734" s="2">
        <v>52</v>
      </c>
      <c r="B1734" s="2">
        <v>2</v>
      </c>
      <c r="C1734" s="8">
        <v>45675</v>
      </c>
      <c r="D1734" s="2" t="s">
        <v>19</v>
      </c>
      <c r="E1734" s="2" t="s">
        <v>16</v>
      </c>
    </row>
    <row r="1735" spans="1:5" x14ac:dyDescent="0.25">
      <c r="A1735" s="2">
        <v>784</v>
      </c>
      <c r="B1735" s="2">
        <v>19</v>
      </c>
      <c r="C1735" s="8">
        <v>45752</v>
      </c>
      <c r="D1735" s="2" t="s">
        <v>12</v>
      </c>
      <c r="E1735" s="2" t="s">
        <v>16</v>
      </c>
    </row>
    <row r="1736" spans="1:5" x14ac:dyDescent="0.25">
      <c r="A1736" s="2">
        <v>1798</v>
      </c>
      <c r="B1736" s="2">
        <v>46</v>
      </c>
      <c r="C1736" s="8">
        <v>45934</v>
      </c>
      <c r="D1736" s="2" t="s">
        <v>20</v>
      </c>
      <c r="E1736" s="2" t="s">
        <v>13</v>
      </c>
    </row>
    <row r="1737" spans="1:5" x14ac:dyDescent="0.25">
      <c r="A1737" s="2">
        <v>162</v>
      </c>
      <c r="B1737" s="2">
        <v>3</v>
      </c>
      <c r="C1737" s="8">
        <v>45667</v>
      </c>
      <c r="D1737" s="2" t="s">
        <v>20</v>
      </c>
      <c r="E1737" s="2" t="s">
        <v>13</v>
      </c>
    </row>
    <row r="1738" spans="1:5" x14ac:dyDescent="0.25">
      <c r="A1738" s="2">
        <v>1114</v>
      </c>
      <c r="B1738" s="2">
        <v>28</v>
      </c>
      <c r="C1738" s="8">
        <v>45830</v>
      </c>
      <c r="D1738" s="2" t="s">
        <v>12</v>
      </c>
      <c r="E1738" s="2" t="s">
        <v>14</v>
      </c>
    </row>
    <row r="1739" spans="1:5" x14ac:dyDescent="0.25">
      <c r="A1739" s="2">
        <v>1450</v>
      </c>
      <c r="B1739" s="2">
        <v>38</v>
      </c>
      <c r="C1739" s="8">
        <v>45887</v>
      </c>
      <c r="D1739" s="2" t="s">
        <v>12</v>
      </c>
      <c r="E1739" s="2" t="s">
        <v>18</v>
      </c>
    </row>
    <row r="1740" spans="1:5" x14ac:dyDescent="0.25">
      <c r="A1740" s="2">
        <v>1266</v>
      </c>
      <c r="B1740" s="2">
        <v>32</v>
      </c>
      <c r="C1740" s="8">
        <v>45847</v>
      </c>
      <c r="D1740" s="2" t="s">
        <v>17</v>
      </c>
      <c r="E1740" s="2" t="s">
        <v>13</v>
      </c>
    </row>
    <row r="1741" spans="1:5" x14ac:dyDescent="0.25">
      <c r="A1741" s="2">
        <v>57</v>
      </c>
      <c r="B1741" s="2">
        <v>2</v>
      </c>
      <c r="C1741" s="8">
        <v>45670</v>
      </c>
      <c r="D1741" s="2" t="s">
        <v>12</v>
      </c>
      <c r="E1741" s="2" t="s">
        <v>14</v>
      </c>
    </row>
    <row r="1742" spans="1:5" x14ac:dyDescent="0.25">
      <c r="A1742" s="2">
        <v>314</v>
      </c>
      <c r="B1742" s="2">
        <v>8</v>
      </c>
      <c r="C1742" s="8">
        <v>45707</v>
      </c>
      <c r="D1742" s="2" t="s">
        <v>19</v>
      </c>
      <c r="E1742" s="2" t="s">
        <v>13</v>
      </c>
    </row>
    <row r="1743" spans="1:5" x14ac:dyDescent="0.25">
      <c r="A1743" s="2">
        <v>1216</v>
      </c>
      <c r="B1743" s="2">
        <v>31</v>
      </c>
      <c r="C1743" s="8">
        <v>45843</v>
      </c>
      <c r="D1743" s="2" t="s">
        <v>19</v>
      </c>
      <c r="E1743" s="2" t="s">
        <v>18</v>
      </c>
    </row>
    <row r="1744" spans="1:5" x14ac:dyDescent="0.25">
      <c r="A1744" s="2">
        <v>1578</v>
      </c>
      <c r="B1744" s="2">
        <v>41</v>
      </c>
      <c r="C1744" s="8">
        <v>45901</v>
      </c>
      <c r="D1744" s="2" t="s">
        <v>19</v>
      </c>
      <c r="E1744" s="2" t="s">
        <v>13</v>
      </c>
    </row>
    <row r="1745" spans="1:5" x14ac:dyDescent="0.25">
      <c r="A1745" s="2">
        <v>1288</v>
      </c>
      <c r="B1745" s="2">
        <v>33</v>
      </c>
      <c r="C1745" s="8">
        <v>45844</v>
      </c>
      <c r="D1745" s="2" t="s">
        <v>15</v>
      </c>
      <c r="E1745" s="2" t="s">
        <v>18</v>
      </c>
    </row>
    <row r="1746" spans="1:5" x14ac:dyDescent="0.25">
      <c r="A1746" s="2">
        <v>24</v>
      </c>
      <c r="B1746" s="2">
        <v>1</v>
      </c>
      <c r="C1746" s="8">
        <v>45673</v>
      </c>
      <c r="D1746" s="2" t="s">
        <v>12</v>
      </c>
      <c r="E1746" s="2" t="s">
        <v>13</v>
      </c>
    </row>
    <row r="1747" spans="1:5" x14ac:dyDescent="0.25">
      <c r="A1747" s="2">
        <v>2078</v>
      </c>
      <c r="B1747" s="2">
        <v>56</v>
      </c>
      <c r="C1747" s="8">
        <v>45998</v>
      </c>
      <c r="D1747" s="2" t="s">
        <v>12</v>
      </c>
      <c r="E1747" s="2" t="s">
        <v>13</v>
      </c>
    </row>
    <row r="1748" spans="1:5" x14ac:dyDescent="0.25">
      <c r="A1748" s="2">
        <v>53</v>
      </c>
      <c r="B1748" s="2">
        <v>2</v>
      </c>
      <c r="C1748" s="8">
        <v>45666</v>
      </c>
      <c r="D1748" s="2" t="s">
        <v>12</v>
      </c>
      <c r="E1748" s="2" t="s">
        <v>18</v>
      </c>
    </row>
    <row r="1749" spans="1:5" x14ac:dyDescent="0.25">
      <c r="A1749" s="2">
        <v>192</v>
      </c>
      <c r="B1749" s="2">
        <v>4</v>
      </c>
      <c r="C1749" s="8">
        <v>45662</v>
      </c>
      <c r="D1749" s="2" t="s">
        <v>12</v>
      </c>
      <c r="E1749" s="2" t="s">
        <v>18</v>
      </c>
    </row>
    <row r="1750" spans="1:5" x14ac:dyDescent="0.25">
      <c r="A1750" s="2">
        <v>191</v>
      </c>
      <c r="B1750" s="2">
        <v>4</v>
      </c>
      <c r="C1750" s="8">
        <v>45676</v>
      </c>
      <c r="D1750" s="2" t="s">
        <v>15</v>
      </c>
      <c r="E1750" s="2" t="s">
        <v>13</v>
      </c>
    </row>
    <row r="1751" spans="1:5" x14ac:dyDescent="0.25">
      <c r="A1751" s="2">
        <v>418</v>
      </c>
      <c r="B1751" s="2">
        <v>10</v>
      </c>
      <c r="C1751" s="8">
        <v>45700</v>
      </c>
      <c r="D1751" s="2" t="s">
        <v>20</v>
      </c>
      <c r="E1751" s="2" t="s">
        <v>14</v>
      </c>
    </row>
    <row r="1752" spans="1:5" x14ac:dyDescent="0.25">
      <c r="A1752" s="2">
        <v>661</v>
      </c>
      <c r="B1752" s="2">
        <v>17</v>
      </c>
      <c r="C1752" s="8">
        <v>45753</v>
      </c>
      <c r="D1752" s="2" t="s">
        <v>15</v>
      </c>
      <c r="E1752" s="2" t="s">
        <v>18</v>
      </c>
    </row>
    <row r="1753" spans="1:5" x14ac:dyDescent="0.25">
      <c r="A1753" s="2">
        <v>326</v>
      </c>
      <c r="B1753" s="2">
        <v>8</v>
      </c>
      <c r="C1753" s="8">
        <v>45701</v>
      </c>
      <c r="D1753" s="2" t="s">
        <v>12</v>
      </c>
      <c r="E1753" s="2" t="s">
        <v>14</v>
      </c>
    </row>
    <row r="1754" spans="1:5" x14ac:dyDescent="0.25">
      <c r="A1754" s="2">
        <v>1897</v>
      </c>
      <c r="B1754" s="2">
        <v>48</v>
      </c>
      <c r="C1754" s="8">
        <v>45937</v>
      </c>
      <c r="D1754" s="2" t="s">
        <v>12</v>
      </c>
      <c r="E1754" s="2" t="s">
        <v>13</v>
      </c>
    </row>
    <row r="1755" spans="1:5" x14ac:dyDescent="0.25">
      <c r="A1755" s="2">
        <v>1876</v>
      </c>
      <c r="B1755" s="2">
        <v>48</v>
      </c>
      <c r="C1755" s="8">
        <v>45957</v>
      </c>
      <c r="D1755" s="2" t="s">
        <v>17</v>
      </c>
      <c r="E1755" s="2" t="s">
        <v>16</v>
      </c>
    </row>
    <row r="1756" spans="1:5" x14ac:dyDescent="0.25">
      <c r="A1756" s="2">
        <v>533</v>
      </c>
      <c r="B1756" s="2">
        <v>13</v>
      </c>
      <c r="C1756" s="8">
        <v>45725</v>
      </c>
      <c r="D1756" s="2" t="s">
        <v>20</v>
      </c>
      <c r="E1756" s="2" t="s">
        <v>13</v>
      </c>
    </row>
    <row r="1757" spans="1:5" x14ac:dyDescent="0.25">
      <c r="A1757" s="2">
        <v>2109</v>
      </c>
      <c r="B1757" s="2">
        <v>58</v>
      </c>
      <c r="C1757" s="8">
        <v>46014</v>
      </c>
      <c r="D1757" s="2" t="s">
        <v>12</v>
      </c>
      <c r="E1757" s="2" t="s">
        <v>13</v>
      </c>
    </row>
    <row r="1758" spans="1:5" x14ac:dyDescent="0.25">
      <c r="A1758" s="2">
        <v>1561</v>
      </c>
      <c r="B1758" s="2">
        <v>41</v>
      </c>
      <c r="C1758" s="8">
        <v>45922</v>
      </c>
      <c r="D1758" s="2" t="s">
        <v>20</v>
      </c>
      <c r="E1758" s="2" t="s">
        <v>18</v>
      </c>
    </row>
    <row r="1759" spans="1:5" x14ac:dyDescent="0.25">
      <c r="A1759" s="2">
        <v>1727</v>
      </c>
      <c r="B1759" s="2">
        <v>44</v>
      </c>
      <c r="C1759" s="8">
        <v>45922</v>
      </c>
      <c r="D1759" s="2" t="s">
        <v>12</v>
      </c>
      <c r="E1759" s="2" t="s">
        <v>18</v>
      </c>
    </row>
    <row r="1760" spans="1:5" x14ac:dyDescent="0.25">
      <c r="A1760" s="2">
        <v>803</v>
      </c>
      <c r="B1760" s="2">
        <v>19</v>
      </c>
      <c r="C1760" s="8">
        <v>45753</v>
      </c>
      <c r="D1760" s="2" t="s">
        <v>12</v>
      </c>
      <c r="E1760" s="2" t="s">
        <v>16</v>
      </c>
    </row>
    <row r="1761" spans="1:5" x14ac:dyDescent="0.25">
      <c r="A1761" s="2">
        <v>1834</v>
      </c>
      <c r="B1761" s="2">
        <v>47</v>
      </c>
      <c r="C1761" s="8">
        <v>45950</v>
      </c>
      <c r="D1761" s="2" t="s">
        <v>15</v>
      </c>
      <c r="E1761" s="2" t="s">
        <v>16</v>
      </c>
    </row>
    <row r="1762" spans="1:5" x14ac:dyDescent="0.25">
      <c r="A1762" s="2">
        <v>1931</v>
      </c>
      <c r="B1762" s="2">
        <v>50</v>
      </c>
      <c r="C1762" s="8">
        <v>45953</v>
      </c>
      <c r="D1762" s="2" t="s">
        <v>15</v>
      </c>
      <c r="E1762" s="2" t="s">
        <v>18</v>
      </c>
    </row>
    <row r="1763" spans="1:5" x14ac:dyDescent="0.25">
      <c r="A1763" s="2">
        <v>1294</v>
      </c>
      <c r="B1763" s="2">
        <v>33</v>
      </c>
      <c r="C1763" s="8">
        <v>45842</v>
      </c>
      <c r="D1763" s="2" t="s">
        <v>12</v>
      </c>
      <c r="E1763" s="2" t="s">
        <v>16</v>
      </c>
    </row>
    <row r="1764" spans="1:5" x14ac:dyDescent="0.25">
      <c r="A1764" s="2">
        <v>243</v>
      </c>
      <c r="B1764" s="2">
        <v>6</v>
      </c>
      <c r="C1764" s="8">
        <v>45693</v>
      </c>
      <c r="D1764" s="2" t="s">
        <v>12</v>
      </c>
      <c r="E1764" s="2" t="s">
        <v>18</v>
      </c>
    </row>
    <row r="1765" spans="1:5" x14ac:dyDescent="0.25">
      <c r="A1765" s="2">
        <v>1033</v>
      </c>
      <c r="B1765" s="2">
        <v>27</v>
      </c>
      <c r="C1765" s="8">
        <v>45812</v>
      </c>
      <c r="D1765" s="2" t="s">
        <v>19</v>
      </c>
      <c r="E1765" s="2" t="s">
        <v>16</v>
      </c>
    </row>
    <row r="1766" spans="1:5" x14ac:dyDescent="0.25">
      <c r="A1766" s="2">
        <v>259</v>
      </c>
      <c r="B1766" s="2">
        <v>6</v>
      </c>
      <c r="C1766" s="8">
        <v>45701</v>
      </c>
      <c r="D1766" s="2" t="s">
        <v>12</v>
      </c>
      <c r="E1766" s="2" t="s">
        <v>16</v>
      </c>
    </row>
    <row r="1767" spans="1:5" x14ac:dyDescent="0.25">
      <c r="A1767" s="2">
        <v>1641</v>
      </c>
      <c r="B1767" s="2">
        <v>43</v>
      </c>
      <c r="C1767" s="8">
        <v>45905</v>
      </c>
      <c r="D1767" s="2" t="s">
        <v>20</v>
      </c>
      <c r="E1767" s="2" t="s">
        <v>16</v>
      </c>
    </row>
    <row r="1768" spans="1:5" x14ac:dyDescent="0.25">
      <c r="A1768" s="2">
        <v>1455</v>
      </c>
      <c r="B1768" s="2">
        <v>38</v>
      </c>
      <c r="C1768" s="8">
        <v>45873</v>
      </c>
      <c r="D1768" s="2" t="s">
        <v>15</v>
      </c>
      <c r="E1768" s="2" t="s">
        <v>16</v>
      </c>
    </row>
    <row r="1769" spans="1:5" x14ac:dyDescent="0.25">
      <c r="A1769" s="2">
        <v>1879</v>
      </c>
      <c r="B1769" s="2">
        <v>48</v>
      </c>
      <c r="C1769" s="8">
        <v>45946</v>
      </c>
      <c r="D1769" s="2" t="s">
        <v>15</v>
      </c>
      <c r="E1769" s="2" t="s">
        <v>13</v>
      </c>
    </row>
    <row r="1770" spans="1:5" x14ac:dyDescent="0.25">
      <c r="A1770" s="2">
        <v>474</v>
      </c>
      <c r="B1770" s="2">
        <v>12</v>
      </c>
      <c r="C1770" s="8">
        <v>45735</v>
      </c>
      <c r="D1770" s="2" t="s">
        <v>20</v>
      </c>
      <c r="E1770" s="2" t="s">
        <v>18</v>
      </c>
    </row>
    <row r="1771" spans="1:5" x14ac:dyDescent="0.25">
      <c r="A1771" s="2">
        <v>1886</v>
      </c>
      <c r="B1771" s="2">
        <v>48</v>
      </c>
      <c r="C1771" s="8">
        <v>45955</v>
      </c>
      <c r="D1771" s="2" t="s">
        <v>12</v>
      </c>
      <c r="E1771" s="2" t="s">
        <v>14</v>
      </c>
    </row>
    <row r="1772" spans="1:5" x14ac:dyDescent="0.25">
      <c r="A1772" s="2">
        <v>325</v>
      </c>
      <c r="B1772" s="2">
        <v>8</v>
      </c>
      <c r="C1772" s="8">
        <v>45706</v>
      </c>
      <c r="D1772" s="2" t="s">
        <v>15</v>
      </c>
      <c r="E1772" s="2" t="s">
        <v>13</v>
      </c>
    </row>
    <row r="1773" spans="1:5" x14ac:dyDescent="0.25">
      <c r="A1773" s="2">
        <v>1060</v>
      </c>
      <c r="B1773" s="2">
        <v>27</v>
      </c>
      <c r="C1773" s="8">
        <v>45833</v>
      </c>
      <c r="D1773" s="2" t="s">
        <v>15</v>
      </c>
      <c r="E1773" s="2" t="s">
        <v>16</v>
      </c>
    </row>
    <row r="1774" spans="1:5" x14ac:dyDescent="0.25">
      <c r="A1774" s="2">
        <v>652</v>
      </c>
      <c r="B1774" s="2">
        <v>17</v>
      </c>
      <c r="C1774" s="8">
        <v>45773</v>
      </c>
      <c r="D1774" s="2" t="s">
        <v>12</v>
      </c>
      <c r="E1774" s="2" t="s">
        <v>18</v>
      </c>
    </row>
    <row r="1775" spans="1:5" x14ac:dyDescent="0.25">
      <c r="A1775" s="2">
        <v>826</v>
      </c>
      <c r="B1775" s="2">
        <v>21</v>
      </c>
      <c r="C1775" s="8">
        <v>45795</v>
      </c>
      <c r="D1775" s="2" t="s">
        <v>12</v>
      </c>
      <c r="E1775" s="2" t="s">
        <v>18</v>
      </c>
    </row>
    <row r="1776" spans="1:5" x14ac:dyDescent="0.25">
      <c r="A1776" s="2">
        <v>356</v>
      </c>
      <c r="B1776" s="2">
        <v>8</v>
      </c>
      <c r="C1776" s="8">
        <v>45699</v>
      </c>
      <c r="D1776" s="2" t="s">
        <v>20</v>
      </c>
      <c r="E1776" s="2" t="s">
        <v>14</v>
      </c>
    </row>
    <row r="1777" spans="1:5" x14ac:dyDescent="0.25">
      <c r="A1777" s="2">
        <v>1492</v>
      </c>
      <c r="B1777" s="2">
        <v>38</v>
      </c>
      <c r="C1777" s="8">
        <v>45878</v>
      </c>
      <c r="D1777" s="2" t="s">
        <v>15</v>
      </c>
      <c r="E1777" s="2" t="s">
        <v>18</v>
      </c>
    </row>
    <row r="1778" spans="1:5" x14ac:dyDescent="0.25">
      <c r="A1778" s="2">
        <v>800</v>
      </c>
      <c r="B1778" s="2">
        <v>19</v>
      </c>
      <c r="C1778" s="8">
        <v>45770</v>
      </c>
      <c r="D1778" s="2" t="s">
        <v>17</v>
      </c>
      <c r="E1778" s="2" t="s">
        <v>16</v>
      </c>
    </row>
    <row r="1779" spans="1:5" x14ac:dyDescent="0.25">
      <c r="A1779" s="2">
        <v>1304</v>
      </c>
      <c r="B1779" s="2">
        <v>33</v>
      </c>
      <c r="C1779" s="8">
        <v>45845</v>
      </c>
      <c r="D1779" s="2" t="s">
        <v>19</v>
      </c>
      <c r="E1779" s="2" t="s">
        <v>16</v>
      </c>
    </row>
    <row r="1780" spans="1:5" x14ac:dyDescent="0.25">
      <c r="A1780" s="2">
        <v>264</v>
      </c>
      <c r="B1780" s="2">
        <v>7</v>
      </c>
      <c r="C1780" s="8">
        <v>45710</v>
      </c>
      <c r="D1780" s="2" t="s">
        <v>15</v>
      </c>
      <c r="E1780" s="2" t="s">
        <v>18</v>
      </c>
    </row>
    <row r="1781" spans="1:5" x14ac:dyDescent="0.25">
      <c r="A1781" s="2">
        <v>879</v>
      </c>
      <c r="B1781" s="2">
        <v>22</v>
      </c>
      <c r="C1781" s="8">
        <v>45799</v>
      </c>
      <c r="D1781" s="2" t="s">
        <v>15</v>
      </c>
      <c r="E1781" s="2" t="s">
        <v>18</v>
      </c>
    </row>
    <row r="1782" spans="1:5" x14ac:dyDescent="0.25">
      <c r="A1782" s="2">
        <v>1184</v>
      </c>
      <c r="B1782" s="2">
        <v>30</v>
      </c>
      <c r="C1782" s="8">
        <v>45831</v>
      </c>
      <c r="D1782" s="2" t="s">
        <v>12</v>
      </c>
      <c r="E1782" s="2" t="s">
        <v>18</v>
      </c>
    </row>
    <row r="1783" spans="1:5" x14ac:dyDescent="0.25">
      <c r="A1783" s="2">
        <v>1642</v>
      </c>
      <c r="B1783" s="2">
        <v>43</v>
      </c>
      <c r="C1783" s="8">
        <v>45917</v>
      </c>
      <c r="D1783" s="2" t="s">
        <v>12</v>
      </c>
      <c r="E1783" s="2" t="s">
        <v>16</v>
      </c>
    </row>
    <row r="1784" spans="1:5" x14ac:dyDescent="0.25">
      <c r="A1784" s="2">
        <v>106</v>
      </c>
      <c r="B1784" s="2">
        <v>3</v>
      </c>
      <c r="C1784" s="8">
        <v>45682</v>
      </c>
      <c r="D1784" s="2" t="s">
        <v>19</v>
      </c>
      <c r="E1784" s="2" t="s">
        <v>13</v>
      </c>
    </row>
    <row r="1785" spans="1:5" x14ac:dyDescent="0.25">
      <c r="A1785" s="2">
        <v>1910</v>
      </c>
      <c r="B1785" s="2">
        <v>48</v>
      </c>
      <c r="C1785" s="8">
        <v>45941</v>
      </c>
      <c r="D1785" s="2" t="s">
        <v>12</v>
      </c>
      <c r="E1785" s="2" t="s">
        <v>14</v>
      </c>
    </row>
    <row r="1786" spans="1:5" x14ac:dyDescent="0.25">
      <c r="A1786" s="2">
        <v>806</v>
      </c>
      <c r="B1786" s="2">
        <v>20</v>
      </c>
      <c r="C1786" s="8">
        <v>45751</v>
      </c>
      <c r="D1786" s="2" t="s">
        <v>19</v>
      </c>
      <c r="E1786" s="2" t="s">
        <v>18</v>
      </c>
    </row>
    <row r="1787" spans="1:5" x14ac:dyDescent="0.25">
      <c r="A1787" s="2">
        <v>1320</v>
      </c>
      <c r="B1787" s="2">
        <v>33</v>
      </c>
      <c r="C1787" s="8">
        <v>45857</v>
      </c>
      <c r="D1787" s="2" t="s">
        <v>15</v>
      </c>
      <c r="E1787" s="2" t="s">
        <v>14</v>
      </c>
    </row>
    <row r="1788" spans="1:5" x14ac:dyDescent="0.25">
      <c r="A1788" s="2">
        <v>1871</v>
      </c>
      <c r="B1788" s="2">
        <v>48</v>
      </c>
      <c r="C1788" s="8">
        <v>45953</v>
      </c>
      <c r="D1788" s="2" t="s">
        <v>15</v>
      </c>
      <c r="E1788" s="2" t="s">
        <v>16</v>
      </c>
    </row>
    <row r="1789" spans="1:5" x14ac:dyDescent="0.25">
      <c r="A1789" s="2">
        <v>395</v>
      </c>
      <c r="B1789" s="2">
        <v>9</v>
      </c>
      <c r="C1789" s="8">
        <v>45711</v>
      </c>
      <c r="D1789" s="2" t="s">
        <v>12</v>
      </c>
      <c r="E1789" s="2" t="s">
        <v>13</v>
      </c>
    </row>
    <row r="1790" spans="1:5" x14ac:dyDescent="0.25">
      <c r="A1790" s="2">
        <v>802</v>
      </c>
      <c r="B1790" s="2">
        <v>19</v>
      </c>
      <c r="C1790" s="8">
        <v>45757</v>
      </c>
      <c r="D1790" s="2" t="s">
        <v>20</v>
      </c>
      <c r="E1790" s="2" t="s">
        <v>16</v>
      </c>
    </row>
    <row r="1791" spans="1:5" x14ac:dyDescent="0.25">
      <c r="A1791" s="2">
        <v>1139</v>
      </c>
      <c r="B1791" s="2">
        <v>28</v>
      </c>
      <c r="C1791" s="8">
        <v>45836</v>
      </c>
      <c r="D1791" s="2" t="s">
        <v>12</v>
      </c>
      <c r="E1791" s="2" t="s">
        <v>16</v>
      </c>
    </row>
    <row r="1792" spans="1:5" x14ac:dyDescent="0.25">
      <c r="A1792" s="2">
        <v>496</v>
      </c>
      <c r="B1792" s="2">
        <v>12</v>
      </c>
      <c r="C1792" s="8">
        <v>45732</v>
      </c>
      <c r="D1792" s="2" t="s">
        <v>15</v>
      </c>
      <c r="E1792" s="2" t="s">
        <v>16</v>
      </c>
    </row>
    <row r="1793" spans="1:5" x14ac:dyDescent="0.25">
      <c r="A1793" s="2">
        <v>881</v>
      </c>
      <c r="B1793" s="2">
        <v>22</v>
      </c>
      <c r="C1793" s="8">
        <v>45798</v>
      </c>
      <c r="D1793" s="2" t="s">
        <v>12</v>
      </c>
      <c r="E1793" s="2" t="s">
        <v>18</v>
      </c>
    </row>
    <row r="1794" spans="1:5" x14ac:dyDescent="0.25">
      <c r="A1794" s="2">
        <v>1172</v>
      </c>
      <c r="B1794" s="2">
        <v>29</v>
      </c>
      <c r="C1794" s="8">
        <v>45825</v>
      </c>
      <c r="D1794" s="2" t="s">
        <v>17</v>
      </c>
      <c r="E1794" s="2" t="s">
        <v>16</v>
      </c>
    </row>
    <row r="1795" spans="1:5" x14ac:dyDescent="0.25">
      <c r="A1795" s="2">
        <v>350</v>
      </c>
      <c r="B1795" s="2">
        <v>8</v>
      </c>
      <c r="C1795" s="8">
        <v>45713</v>
      </c>
      <c r="D1795" s="2" t="s">
        <v>19</v>
      </c>
      <c r="E1795" s="2" t="s">
        <v>16</v>
      </c>
    </row>
    <row r="1796" spans="1:5" x14ac:dyDescent="0.25">
      <c r="A1796" s="2">
        <v>687</v>
      </c>
      <c r="B1796" s="2">
        <v>17</v>
      </c>
      <c r="C1796" s="8">
        <v>45749</v>
      </c>
      <c r="D1796" s="2" t="s">
        <v>12</v>
      </c>
      <c r="E1796" s="2" t="s">
        <v>18</v>
      </c>
    </row>
    <row r="1797" spans="1:5" x14ac:dyDescent="0.25">
      <c r="A1797" s="2">
        <v>651</v>
      </c>
      <c r="B1797" s="2">
        <v>17</v>
      </c>
      <c r="C1797" s="8">
        <v>45766</v>
      </c>
      <c r="D1797" s="2" t="s">
        <v>15</v>
      </c>
      <c r="E1797" s="2" t="s">
        <v>13</v>
      </c>
    </row>
    <row r="1798" spans="1:5" x14ac:dyDescent="0.25">
      <c r="A1798" s="2">
        <v>1229</v>
      </c>
      <c r="B1798" s="2">
        <v>32</v>
      </c>
      <c r="C1798" s="8">
        <v>45840</v>
      </c>
      <c r="D1798" s="2" t="s">
        <v>12</v>
      </c>
      <c r="E1798" s="2" t="s">
        <v>16</v>
      </c>
    </row>
    <row r="1799" spans="1:5" x14ac:dyDescent="0.25">
      <c r="A1799" s="2">
        <v>1519</v>
      </c>
      <c r="B1799" s="2">
        <v>39</v>
      </c>
      <c r="C1799" s="8">
        <v>45999</v>
      </c>
      <c r="D1799" s="2" t="s">
        <v>12</v>
      </c>
      <c r="E1799" s="2" t="s">
        <v>13</v>
      </c>
    </row>
    <row r="1800" spans="1:5" x14ac:dyDescent="0.25">
      <c r="A1800" s="2">
        <v>1680</v>
      </c>
      <c r="B1800" s="2">
        <v>43</v>
      </c>
      <c r="C1800" s="8">
        <v>45927</v>
      </c>
      <c r="D1800" s="2" t="s">
        <v>12</v>
      </c>
      <c r="E1800" s="2" t="s">
        <v>18</v>
      </c>
    </row>
    <row r="1801" spans="1:5" x14ac:dyDescent="0.25">
      <c r="A1801" s="2">
        <v>1063</v>
      </c>
      <c r="B1801" s="2">
        <v>27</v>
      </c>
      <c r="C1801" s="8">
        <v>45826</v>
      </c>
      <c r="D1801" s="2" t="s">
        <v>20</v>
      </c>
      <c r="E1801" s="2" t="s">
        <v>16</v>
      </c>
    </row>
    <row r="1802" spans="1:5" x14ac:dyDescent="0.25">
      <c r="A1802" s="2">
        <v>1673</v>
      </c>
      <c r="B1802" s="2">
        <v>43</v>
      </c>
      <c r="C1802" s="8">
        <v>45926</v>
      </c>
      <c r="D1802" s="2" t="s">
        <v>12</v>
      </c>
      <c r="E1802" s="2" t="s">
        <v>13</v>
      </c>
    </row>
    <row r="1803" spans="1:5" x14ac:dyDescent="0.25">
      <c r="A1803" s="2">
        <v>1722</v>
      </c>
      <c r="B1803" s="2">
        <v>44</v>
      </c>
      <c r="C1803" s="8">
        <v>45923</v>
      </c>
      <c r="D1803" s="2" t="s">
        <v>19</v>
      </c>
      <c r="E1803" s="2" t="s">
        <v>13</v>
      </c>
    </row>
    <row r="1804" spans="1:5" x14ac:dyDescent="0.25">
      <c r="A1804" s="2">
        <v>767</v>
      </c>
      <c r="B1804" s="2">
        <v>18</v>
      </c>
      <c r="C1804" s="8">
        <v>45761</v>
      </c>
      <c r="D1804" s="2" t="s">
        <v>17</v>
      </c>
      <c r="E1804" s="2" t="s">
        <v>16</v>
      </c>
    </row>
    <row r="1805" spans="1:5" x14ac:dyDescent="0.25">
      <c r="A1805" s="2">
        <v>1619</v>
      </c>
      <c r="B1805" s="2">
        <v>42</v>
      </c>
      <c r="C1805" s="8">
        <v>45925</v>
      </c>
      <c r="D1805" s="2" t="s">
        <v>15</v>
      </c>
      <c r="E1805" s="2" t="s">
        <v>13</v>
      </c>
    </row>
    <row r="1806" spans="1:5" x14ac:dyDescent="0.25">
      <c r="A1806" s="2">
        <v>315</v>
      </c>
      <c r="B1806" s="2">
        <v>8</v>
      </c>
      <c r="C1806" s="8">
        <v>45693</v>
      </c>
      <c r="D1806" s="2" t="s">
        <v>20</v>
      </c>
      <c r="E1806" s="2" t="s">
        <v>16</v>
      </c>
    </row>
    <row r="1807" spans="1:5" x14ac:dyDescent="0.25">
      <c r="A1807" s="2">
        <v>54</v>
      </c>
      <c r="B1807" s="2">
        <v>2</v>
      </c>
      <c r="C1807" s="8">
        <v>45666</v>
      </c>
      <c r="D1807" s="2" t="s">
        <v>12</v>
      </c>
      <c r="E1807" s="2" t="s">
        <v>16</v>
      </c>
    </row>
    <row r="1808" spans="1:5" x14ac:dyDescent="0.25">
      <c r="A1808" s="2">
        <v>32</v>
      </c>
      <c r="B1808" s="2">
        <v>1</v>
      </c>
      <c r="C1808" s="8">
        <v>45676</v>
      </c>
      <c r="D1808" s="2" t="s">
        <v>19</v>
      </c>
      <c r="E1808" s="2" t="s">
        <v>13</v>
      </c>
    </row>
    <row r="1809" spans="1:5" x14ac:dyDescent="0.25">
      <c r="A1809" s="2">
        <v>1857</v>
      </c>
      <c r="B1809" s="2">
        <v>48</v>
      </c>
      <c r="C1809" s="8">
        <v>45943</v>
      </c>
      <c r="D1809" s="2" t="s">
        <v>12</v>
      </c>
      <c r="E1809" s="2" t="s">
        <v>16</v>
      </c>
    </row>
    <row r="1810" spans="1:5" x14ac:dyDescent="0.25">
      <c r="A1810" s="2">
        <v>1818</v>
      </c>
      <c r="B1810" s="2">
        <v>47</v>
      </c>
      <c r="C1810" s="8">
        <v>45933</v>
      </c>
      <c r="D1810" s="2" t="s">
        <v>12</v>
      </c>
      <c r="E1810" s="2" t="s">
        <v>13</v>
      </c>
    </row>
    <row r="1811" spans="1:5" x14ac:dyDescent="0.25">
      <c r="A1811" s="2">
        <v>9</v>
      </c>
      <c r="B1811" s="2">
        <v>1</v>
      </c>
      <c r="C1811" s="8">
        <v>45662</v>
      </c>
      <c r="D1811" s="2" t="s">
        <v>15</v>
      </c>
      <c r="E1811" s="2" t="s">
        <v>16</v>
      </c>
    </row>
    <row r="1812" spans="1:5" x14ac:dyDescent="0.25">
      <c r="A1812" s="2">
        <v>495</v>
      </c>
      <c r="B1812" s="2">
        <v>12</v>
      </c>
      <c r="C1812" s="8">
        <v>45721</v>
      </c>
      <c r="D1812" s="2" t="s">
        <v>12</v>
      </c>
      <c r="E1812" s="2" t="s">
        <v>16</v>
      </c>
    </row>
    <row r="1813" spans="1:5" x14ac:dyDescent="0.25">
      <c r="A1813" s="2">
        <v>1379</v>
      </c>
      <c r="B1813" s="2">
        <v>35</v>
      </c>
      <c r="C1813" s="8">
        <v>45851</v>
      </c>
      <c r="D1813" s="2" t="s">
        <v>20</v>
      </c>
      <c r="E1813" s="2" t="s">
        <v>16</v>
      </c>
    </row>
    <row r="1814" spans="1:5" x14ac:dyDescent="0.25">
      <c r="A1814" s="2">
        <v>850</v>
      </c>
      <c r="B1814" s="2">
        <v>21</v>
      </c>
      <c r="C1814" s="8">
        <v>45798</v>
      </c>
      <c r="D1814" s="2" t="s">
        <v>12</v>
      </c>
      <c r="E1814" s="2" t="s">
        <v>13</v>
      </c>
    </row>
    <row r="1815" spans="1:5" x14ac:dyDescent="0.25">
      <c r="A1815" s="2">
        <v>1629</v>
      </c>
      <c r="B1815" s="2">
        <v>42</v>
      </c>
      <c r="C1815" s="8">
        <v>45905</v>
      </c>
      <c r="D1815" s="2" t="s">
        <v>12</v>
      </c>
      <c r="E1815" s="2" t="s">
        <v>16</v>
      </c>
    </row>
    <row r="1816" spans="1:5" x14ac:dyDescent="0.25">
      <c r="A1816" s="2">
        <v>1718</v>
      </c>
      <c r="B1816" s="2">
        <v>44</v>
      </c>
      <c r="C1816" s="8">
        <v>45908</v>
      </c>
      <c r="D1816" s="2" t="s">
        <v>20</v>
      </c>
      <c r="E1816" s="2" t="s">
        <v>13</v>
      </c>
    </row>
    <row r="1817" spans="1:5" x14ac:dyDescent="0.25">
      <c r="A1817" s="2">
        <v>630</v>
      </c>
      <c r="B1817" s="2">
        <v>16</v>
      </c>
      <c r="C1817" s="8">
        <v>45750</v>
      </c>
      <c r="D1817" s="2" t="s">
        <v>20</v>
      </c>
      <c r="E1817" s="2" t="s">
        <v>16</v>
      </c>
    </row>
    <row r="1818" spans="1:5" x14ac:dyDescent="0.25">
      <c r="A1818" s="2">
        <v>542</v>
      </c>
      <c r="B1818" s="2">
        <v>13</v>
      </c>
      <c r="C1818" s="8">
        <v>45725</v>
      </c>
      <c r="D1818" s="2" t="s">
        <v>19</v>
      </c>
      <c r="E1818" s="2" t="s">
        <v>16</v>
      </c>
    </row>
    <row r="1819" spans="1:5" x14ac:dyDescent="0.25">
      <c r="A1819" s="2">
        <v>1349</v>
      </c>
      <c r="B1819" s="2">
        <v>33</v>
      </c>
      <c r="C1819" s="8">
        <v>45853</v>
      </c>
      <c r="D1819" s="2" t="s">
        <v>12</v>
      </c>
      <c r="E1819" s="2" t="s">
        <v>18</v>
      </c>
    </row>
    <row r="1820" spans="1:5" x14ac:dyDescent="0.25">
      <c r="A1820" s="2">
        <v>1802</v>
      </c>
      <c r="B1820" s="2">
        <v>46</v>
      </c>
      <c r="C1820" s="8">
        <v>45947</v>
      </c>
      <c r="D1820" s="2" t="s">
        <v>12</v>
      </c>
      <c r="E1820" s="2" t="s">
        <v>18</v>
      </c>
    </row>
    <row r="1821" spans="1:5" x14ac:dyDescent="0.25">
      <c r="A1821" s="2">
        <v>549</v>
      </c>
      <c r="B1821" s="2">
        <v>13</v>
      </c>
      <c r="C1821" s="8">
        <v>45728</v>
      </c>
      <c r="D1821" s="2" t="s">
        <v>12</v>
      </c>
      <c r="E1821" s="2" t="s">
        <v>16</v>
      </c>
    </row>
    <row r="1822" spans="1:5" x14ac:dyDescent="0.25">
      <c r="A1822" s="2">
        <v>1884</v>
      </c>
      <c r="B1822" s="2">
        <v>48</v>
      </c>
      <c r="C1822" s="8">
        <v>45939</v>
      </c>
      <c r="D1822" s="2" t="s">
        <v>17</v>
      </c>
      <c r="E1822" s="2" t="s">
        <v>13</v>
      </c>
    </row>
    <row r="1823" spans="1:5" x14ac:dyDescent="0.25">
      <c r="A1823" s="2">
        <v>1040</v>
      </c>
      <c r="B1823" s="2">
        <v>27</v>
      </c>
      <c r="C1823" s="8">
        <v>45832</v>
      </c>
      <c r="D1823" s="2" t="s">
        <v>20</v>
      </c>
      <c r="E1823" s="2" t="s">
        <v>13</v>
      </c>
    </row>
    <row r="1824" spans="1:5" x14ac:dyDescent="0.25">
      <c r="A1824" s="2">
        <v>459</v>
      </c>
      <c r="B1824" s="2">
        <v>11</v>
      </c>
      <c r="C1824" s="8">
        <v>45734</v>
      </c>
      <c r="D1824" s="2" t="s">
        <v>19</v>
      </c>
      <c r="E1824" s="2" t="s">
        <v>16</v>
      </c>
    </row>
    <row r="1825" spans="1:5" x14ac:dyDescent="0.25">
      <c r="A1825" s="2">
        <v>1602</v>
      </c>
      <c r="B1825" s="2">
        <v>42</v>
      </c>
      <c r="C1825" s="8">
        <v>45909</v>
      </c>
      <c r="D1825" s="2" t="s">
        <v>19</v>
      </c>
      <c r="E1825" s="2" t="s">
        <v>16</v>
      </c>
    </row>
    <row r="1826" spans="1:5" x14ac:dyDescent="0.25">
      <c r="A1826" s="2">
        <v>768</v>
      </c>
      <c r="B1826" s="2">
        <v>18</v>
      </c>
      <c r="C1826" s="8">
        <v>45754</v>
      </c>
      <c r="D1826" s="2" t="s">
        <v>12</v>
      </c>
      <c r="E1826" s="2" t="s">
        <v>18</v>
      </c>
    </row>
    <row r="1827" spans="1:5" x14ac:dyDescent="0.25">
      <c r="A1827" s="2">
        <v>16</v>
      </c>
      <c r="B1827" s="2">
        <v>1</v>
      </c>
      <c r="C1827" s="8">
        <v>45669</v>
      </c>
      <c r="D1827" s="2" t="s">
        <v>12</v>
      </c>
      <c r="E1827" s="2" t="s">
        <v>18</v>
      </c>
    </row>
    <row r="1828" spans="1:5" x14ac:dyDescent="0.25">
      <c r="A1828" s="2">
        <v>811</v>
      </c>
      <c r="B1828" s="2">
        <v>20</v>
      </c>
      <c r="C1828" s="8">
        <v>45751</v>
      </c>
      <c r="D1828" s="2" t="s">
        <v>12</v>
      </c>
      <c r="E1828" s="2" t="s">
        <v>16</v>
      </c>
    </row>
    <row r="1829" spans="1:5" x14ac:dyDescent="0.25">
      <c r="A1829" s="2">
        <v>1518</v>
      </c>
      <c r="B1829" s="2">
        <v>39</v>
      </c>
      <c r="C1829" s="8">
        <v>45889</v>
      </c>
      <c r="D1829" s="2" t="s">
        <v>20</v>
      </c>
      <c r="E1829" s="2" t="s">
        <v>16</v>
      </c>
    </row>
    <row r="1830" spans="1:5" x14ac:dyDescent="0.25">
      <c r="A1830" s="2">
        <v>1607</v>
      </c>
      <c r="B1830" s="2">
        <v>42</v>
      </c>
      <c r="C1830" s="8">
        <v>45923</v>
      </c>
      <c r="D1830" s="2" t="s">
        <v>15</v>
      </c>
      <c r="E1830" s="2" t="s">
        <v>13</v>
      </c>
    </row>
    <row r="1831" spans="1:5" x14ac:dyDescent="0.25">
      <c r="A1831" s="2">
        <v>1442</v>
      </c>
      <c r="B1831" s="2">
        <v>38</v>
      </c>
      <c r="C1831" s="8">
        <v>45874</v>
      </c>
      <c r="D1831" s="2" t="s">
        <v>12</v>
      </c>
      <c r="E1831" s="2" t="s">
        <v>16</v>
      </c>
    </row>
    <row r="1832" spans="1:5" x14ac:dyDescent="0.25">
      <c r="A1832" s="2">
        <v>1321</v>
      </c>
      <c r="B1832" s="2">
        <v>33</v>
      </c>
      <c r="C1832" s="8">
        <v>45866</v>
      </c>
      <c r="D1832" s="2" t="s">
        <v>15</v>
      </c>
      <c r="E1832" s="2" t="s">
        <v>16</v>
      </c>
    </row>
    <row r="1833" spans="1:5" x14ac:dyDescent="0.25">
      <c r="A1833" s="2">
        <v>1681</v>
      </c>
      <c r="B1833" s="2">
        <v>43</v>
      </c>
      <c r="C1833" s="8">
        <v>45902</v>
      </c>
      <c r="D1833" s="2" t="s">
        <v>12</v>
      </c>
      <c r="E1833" s="2" t="s">
        <v>13</v>
      </c>
    </row>
    <row r="1834" spans="1:5" x14ac:dyDescent="0.25">
      <c r="A1834" s="2">
        <v>846</v>
      </c>
      <c r="B1834" s="2">
        <v>21</v>
      </c>
      <c r="C1834" s="8">
        <v>45778</v>
      </c>
      <c r="D1834" s="2" t="s">
        <v>12</v>
      </c>
      <c r="E1834" s="2" t="s">
        <v>14</v>
      </c>
    </row>
    <row r="1835" spans="1:5" x14ac:dyDescent="0.25">
      <c r="A1835" s="2">
        <v>951</v>
      </c>
      <c r="B1835" s="2">
        <v>23</v>
      </c>
      <c r="C1835" s="8">
        <v>45785</v>
      </c>
      <c r="D1835" s="2" t="s">
        <v>20</v>
      </c>
      <c r="E1835" s="2" t="s">
        <v>18</v>
      </c>
    </row>
    <row r="1836" spans="1:5" x14ac:dyDescent="0.25">
      <c r="A1836" s="2">
        <v>2079</v>
      </c>
      <c r="B1836" s="2">
        <v>56</v>
      </c>
      <c r="C1836" s="8">
        <v>46018</v>
      </c>
      <c r="D1836" s="2" t="s">
        <v>20</v>
      </c>
      <c r="E1836" s="2" t="s">
        <v>13</v>
      </c>
    </row>
    <row r="1837" spans="1:5" x14ac:dyDescent="0.25">
      <c r="A1837" s="2">
        <v>719</v>
      </c>
      <c r="B1837" s="2">
        <v>18</v>
      </c>
      <c r="C1837" s="8">
        <v>45768</v>
      </c>
      <c r="D1837" s="2" t="s">
        <v>15</v>
      </c>
      <c r="E1837" s="2" t="s">
        <v>16</v>
      </c>
    </row>
    <row r="1838" spans="1:5" x14ac:dyDescent="0.25">
      <c r="A1838" s="2">
        <v>255</v>
      </c>
      <c r="B1838" s="2">
        <v>6</v>
      </c>
      <c r="C1838" s="8">
        <v>45711</v>
      </c>
      <c r="D1838" s="2" t="s">
        <v>20</v>
      </c>
      <c r="E1838" s="2" t="s">
        <v>16</v>
      </c>
    </row>
    <row r="1839" spans="1:5" x14ac:dyDescent="0.25">
      <c r="A1839" s="2">
        <v>962</v>
      </c>
      <c r="B1839" s="2">
        <v>23</v>
      </c>
      <c r="C1839" s="8">
        <v>45783</v>
      </c>
      <c r="D1839" s="2" t="s">
        <v>20</v>
      </c>
      <c r="E1839" s="2" t="s">
        <v>16</v>
      </c>
    </row>
    <row r="1840" spans="1:5" x14ac:dyDescent="0.25">
      <c r="A1840" s="2">
        <v>1754</v>
      </c>
      <c r="B1840" s="2">
        <v>45</v>
      </c>
      <c r="C1840" s="8">
        <v>45903</v>
      </c>
      <c r="D1840" s="2" t="s">
        <v>15</v>
      </c>
      <c r="E1840" s="2" t="s">
        <v>13</v>
      </c>
    </row>
    <row r="1841" spans="1:5" x14ac:dyDescent="0.25">
      <c r="A1841" s="2">
        <v>401</v>
      </c>
      <c r="B1841" s="2">
        <v>9</v>
      </c>
      <c r="C1841" s="8">
        <v>45710</v>
      </c>
      <c r="D1841" s="2" t="s">
        <v>20</v>
      </c>
      <c r="E1841" s="2" t="s">
        <v>13</v>
      </c>
    </row>
    <row r="1842" spans="1:5" x14ac:dyDescent="0.25">
      <c r="A1842" s="2">
        <v>235</v>
      </c>
      <c r="B1842" s="2">
        <v>6</v>
      </c>
      <c r="C1842" s="8">
        <v>45701</v>
      </c>
      <c r="D1842" s="2" t="s">
        <v>20</v>
      </c>
      <c r="E1842" s="2" t="s">
        <v>13</v>
      </c>
    </row>
    <row r="1843" spans="1:5" x14ac:dyDescent="0.25">
      <c r="A1843" s="2">
        <v>781</v>
      </c>
      <c r="B1843" s="2">
        <v>19</v>
      </c>
      <c r="C1843" s="8">
        <v>45751</v>
      </c>
      <c r="D1843" s="2" t="s">
        <v>12</v>
      </c>
      <c r="E1843" s="2" t="s">
        <v>16</v>
      </c>
    </row>
    <row r="1844" spans="1:5" x14ac:dyDescent="0.25">
      <c r="A1844" s="2">
        <v>1130</v>
      </c>
      <c r="B1844" s="2">
        <v>28</v>
      </c>
      <c r="C1844" s="8">
        <v>45831</v>
      </c>
      <c r="D1844" s="2" t="s">
        <v>12</v>
      </c>
      <c r="E1844" s="2" t="s">
        <v>18</v>
      </c>
    </row>
    <row r="1845" spans="1:5" x14ac:dyDescent="0.25">
      <c r="A1845" s="2">
        <v>932</v>
      </c>
      <c r="B1845" s="2">
        <v>23</v>
      </c>
      <c r="C1845" s="8">
        <v>45802</v>
      </c>
      <c r="D1845" s="2" t="s">
        <v>12</v>
      </c>
      <c r="E1845" s="2" t="s">
        <v>18</v>
      </c>
    </row>
    <row r="1846" spans="1:5" x14ac:dyDescent="0.25">
      <c r="A1846" s="2">
        <v>1592</v>
      </c>
      <c r="B1846" s="2">
        <v>42</v>
      </c>
      <c r="C1846" s="8">
        <v>45921</v>
      </c>
      <c r="D1846" s="2" t="s">
        <v>12</v>
      </c>
      <c r="E1846" s="2" t="s">
        <v>16</v>
      </c>
    </row>
    <row r="1847" spans="1:5" x14ac:dyDescent="0.25">
      <c r="A1847" s="2">
        <v>457</v>
      </c>
      <c r="B1847" s="2">
        <v>11</v>
      </c>
      <c r="C1847" s="8">
        <v>45731</v>
      </c>
      <c r="D1847" s="2" t="s">
        <v>12</v>
      </c>
      <c r="E1847" s="2" t="s">
        <v>16</v>
      </c>
    </row>
    <row r="1848" spans="1:5" x14ac:dyDescent="0.25">
      <c r="A1848" s="2">
        <v>434</v>
      </c>
      <c r="B1848" s="2">
        <v>10</v>
      </c>
      <c r="C1848" s="8">
        <v>45700</v>
      </c>
      <c r="D1848" s="2" t="s">
        <v>12</v>
      </c>
      <c r="E1848" s="2" t="s">
        <v>14</v>
      </c>
    </row>
    <row r="1849" spans="1:5" x14ac:dyDescent="0.25">
      <c r="A1849" s="2">
        <v>862</v>
      </c>
      <c r="B1849" s="2">
        <v>21</v>
      </c>
      <c r="C1849" s="8">
        <v>45787</v>
      </c>
      <c r="D1849" s="2" t="s">
        <v>17</v>
      </c>
      <c r="E1849" s="2" t="s">
        <v>14</v>
      </c>
    </row>
    <row r="1850" spans="1:5" x14ac:dyDescent="0.25">
      <c r="A1850" s="2">
        <v>1745</v>
      </c>
      <c r="B1850" s="2">
        <v>45</v>
      </c>
      <c r="C1850" s="8">
        <v>45905</v>
      </c>
      <c r="D1850" s="2" t="s">
        <v>20</v>
      </c>
      <c r="E1850" s="2" t="s">
        <v>16</v>
      </c>
    </row>
    <row r="1851" spans="1:5" x14ac:dyDescent="0.25">
      <c r="A1851" s="2">
        <v>594</v>
      </c>
      <c r="B1851" s="2">
        <v>14</v>
      </c>
      <c r="C1851" s="8">
        <v>45728</v>
      </c>
      <c r="D1851" s="2" t="s">
        <v>12</v>
      </c>
      <c r="E1851" s="2" t="s">
        <v>13</v>
      </c>
    </row>
    <row r="1852" spans="1:5" x14ac:dyDescent="0.25">
      <c r="A1852" s="2">
        <v>1988</v>
      </c>
      <c r="B1852" s="2">
        <v>52</v>
      </c>
      <c r="C1852" s="8">
        <v>45983</v>
      </c>
      <c r="D1852" s="2" t="s">
        <v>12</v>
      </c>
      <c r="E1852" s="2" t="s">
        <v>18</v>
      </c>
    </row>
    <row r="1853" spans="1:5" x14ac:dyDescent="0.25">
      <c r="A1853" s="2">
        <v>67</v>
      </c>
      <c r="B1853" s="2">
        <v>2</v>
      </c>
      <c r="C1853" s="8">
        <v>45672</v>
      </c>
      <c r="D1853" s="2" t="s">
        <v>12</v>
      </c>
      <c r="E1853" s="2" t="s">
        <v>16</v>
      </c>
    </row>
    <row r="1854" spans="1:5" x14ac:dyDescent="0.25">
      <c r="A1854" s="2">
        <v>1877</v>
      </c>
      <c r="B1854" s="2">
        <v>48</v>
      </c>
      <c r="C1854" s="8">
        <v>45944</v>
      </c>
      <c r="D1854" s="2" t="s">
        <v>12</v>
      </c>
      <c r="E1854" s="2" t="s">
        <v>16</v>
      </c>
    </row>
    <row r="1855" spans="1:5" x14ac:dyDescent="0.25">
      <c r="A1855" s="2">
        <v>2096</v>
      </c>
      <c r="B1855" s="2">
        <v>57</v>
      </c>
      <c r="C1855" s="8">
        <v>46005</v>
      </c>
      <c r="D1855" s="2" t="s">
        <v>15</v>
      </c>
      <c r="E1855" s="2" t="s">
        <v>16</v>
      </c>
    </row>
    <row r="1856" spans="1:5" x14ac:dyDescent="0.25">
      <c r="A1856" s="2">
        <v>1031</v>
      </c>
      <c r="B1856" s="2">
        <v>27</v>
      </c>
      <c r="C1856" s="8">
        <v>45815</v>
      </c>
      <c r="D1856" s="2" t="s">
        <v>12</v>
      </c>
      <c r="E1856" s="2" t="s">
        <v>16</v>
      </c>
    </row>
    <row r="1857" spans="1:5" x14ac:dyDescent="0.25">
      <c r="A1857" s="2">
        <v>910</v>
      </c>
      <c r="B1857" s="2">
        <v>23</v>
      </c>
      <c r="C1857" s="8">
        <v>45790</v>
      </c>
      <c r="D1857" s="2" t="s">
        <v>19</v>
      </c>
      <c r="E1857" s="2" t="s">
        <v>13</v>
      </c>
    </row>
    <row r="1858" spans="1:5" x14ac:dyDescent="0.25">
      <c r="A1858" s="2">
        <v>1298</v>
      </c>
      <c r="B1858" s="2">
        <v>33</v>
      </c>
      <c r="C1858" s="8">
        <v>45859</v>
      </c>
      <c r="D1858" s="2" t="s">
        <v>20</v>
      </c>
      <c r="E1858" s="2" t="s">
        <v>16</v>
      </c>
    </row>
    <row r="1859" spans="1:5" x14ac:dyDescent="0.25">
      <c r="A1859" s="2">
        <v>205</v>
      </c>
      <c r="B1859" s="2">
        <v>4</v>
      </c>
      <c r="C1859" s="8">
        <v>45681</v>
      </c>
      <c r="D1859" s="2" t="s">
        <v>20</v>
      </c>
      <c r="E1859" s="2" t="s">
        <v>18</v>
      </c>
    </row>
    <row r="1860" spans="1:5" x14ac:dyDescent="0.25">
      <c r="A1860" s="2">
        <v>1116</v>
      </c>
      <c r="B1860" s="2">
        <v>28</v>
      </c>
      <c r="C1860" s="8">
        <v>45823</v>
      </c>
      <c r="D1860" s="2" t="s">
        <v>20</v>
      </c>
      <c r="E1860" s="2" t="s">
        <v>18</v>
      </c>
    </row>
    <row r="1861" spans="1:5" x14ac:dyDescent="0.25">
      <c r="A1861" s="2">
        <v>1278</v>
      </c>
      <c r="B1861" s="2">
        <v>33</v>
      </c>
      <c r="C1861" s="8">
        <v>45841</v>
      </c>
      <c r="D1861" s="2" t="s">
        <v>12</v>
      </c>
      <c r="E1861" s="2" t="s">
        <v>18</v>
      </c>
    </row>
    <row r="1862" spans="1:5" x14ac:dyDescent="0.25">
      <c r="A1862" s="2">
        <v>2095</v>
      </c>
      <c r="B1862" s="2">
        <v>57</v>
      </c>
      <c r="C1862" s="8">
        <v>45996</v>
      </c>
      <c r="D1862" s="2" t="s">
        <v>20</v>
      </c>
      <c r="E1862" s="2" t="s">
        <v>13</v>
      </c>
    </row>
    <row r="1863" spans="1:5" x14ac:dyDescent="0.25">
      <c r="A1863" s="2">
        <v>1536</v>
      </c>
      <c r="B1863" s="2">
        <v>39</v>
      </c>
      <c r="C1863" s="8">
        <v>45885</v>
      </c>
      <c r="D1863" s="2" t="s">
        <v>12</v>
      </c>
      <c r="E1863" s="2" t="s">
        <v>18</v>
      </c>
    </row>
    <row r="1864" spans="1:5" x14ac:dyDescent="0.25">
      <c r="A1864" s="2">
        <v>1017</v>
      </c>
      <c r="B1864" s="2">
        <v>26</v>
      </c>
      <c r="C1864" s="8">
        <v>45813</v>
      </c>
      <c r="D1864" s="2" t="s">
        <v>17</v>
      </c>
      <c r="E1864" s="2" t="s">
        <v>16</v>
      </c>
    </row>
    <row r="1865" spans="1:5" x14ac:dyDescent="0.25">
      <c r="A1865" s="2">
        <v>1875</v>
      </c>
      <c r="B1865" s="2">
        <v>48</v>
      </c>
      <c r="C1865" s="8">
        <v>45954</v>
      </c>
      <c r="D1865" s="2" t="s">
        <v>20</v>
      </c>
      <c r="E1865" s="2" t="s">
        <v>16</v>
      </c>
    </row>
    <row r="1866" spans="1:5" x14ac:dyDescent="0.25">
      <c r="A1866" s="2">
        <v>843</v>
      </c>
      <c r="B1866" s="2">
        <v>21</v>
      </c>
      <c r="C1866" s="8" t="s">
        <v>47</v>
      </c>
      <c r="D1866" s="2" t="s">
        <v>15</v>
      </c>
      <c r="E1866" s="2" t="s">
        <v>18</v>
      </c>
    </row>
    <row r="1867" spans="1:5" x14ac:dyDescent="0.25">
      <c r="A1867" s="2">
        <v>1986</v>
      </c>
      <c r="B1867" s="2">
        <v>52</v>
      </c>
      <c r="C1867" s="8">
        <v>45966</v>
      </c>
      <c r="D1867" s="2" t="s">
        <v>12</v>
      </c>
      <c r="E1867" s="2" t="s">
        <v>13</v>
      </c>
    </row>
    <row r="1868" spans="1:5" x14ac:dyDescent="0.25">
      <c r="A1868" s="2">
        <v>1926</v>
      </c>
      <c r="B1868" s="2">
        <v>49</v>
      </c>
      <c r="C1868" s="8">
        <v>45952</v>
      </c>
      <c r="D1868" s="2" t="s">
        <v>12</v>
      </c>
      <c r="E1868" s="2" t="s">
        <v>18</v>
      </c>
    </row>
    <row r="1869" spans="1:5" x14ac:dyDescent="0.25">
      <c r="A1869" s="2">
        <v>1331</v>
      </c>
      <c r="B1869" s="2">
        <v>33</v>
      </c>
      <c r="C1869" s="8">
        <v>45860</v>
      </c>
      <c r="D1869" s="2" t="s">
        <v>12</v>
      </c>
      <c r="E1869" s="2" t="s">
        <v>16</v>
      </c>
    </row>
    <row r="1870" spans="1:5" x14ac:dyDescent="0.25">
      <c r="A1870" s="2">
        <v>184</v>
      </c>
      <c r="B1870" s="2">
        <v>4</v>
      </c>
      <c r="C1870" s="8">
        <v>45671</v>
      </c>
      <c r="D1870" s="2" t="s">
        <v>12</v>
      </c>
      <c r="E1870" s="2" t="s">
        <v>16</v>
      </c>
    </row>
    <row r="1871" spans="1:5" x14ac:dyDescent="0.25">
      <c r="A1871" s="2">
        <v>213</v>
      </c>
      <c r="B1871" s="2">
        <v>4</v>
      </c>
      <c r="C1871" s="8">
        <v>45659</v>
      </c>
      <c r="D1871" s="2" t="s">
        <v>12</v>
      </c>
      <c r="E1871" s="2" t="s">
        <v>14</v>
      </c>
    </row>
    <row r="1872" spans="1:5" x14ac:dyDescent="0.25">
      <c r="A1872" s="2">
        <v>1715</v>
      </c>
      <c r="B1872" s="2">
        <v>44</v>
      </c>
      <c r="C1872" s="8">
        <v>45908</v>
      </c>
      <c r="D1872" s="2" t="s">
        <v>20</v>
      </c>
      <c r="E1872" s="2" t="s">
        <v>13</v>
      </c>
    </row>
    <row r="1873" spans="1:5" x14ac:dyDescent="0.25">
      <c r="A1873" s="2">
        <v>1651</v>
      </c>
      <c r="B1873" s="2">
        <v>43</v>
      </c>
      <c r="C1873" s="8">
        <v>45927</v>
      </c>
      <c r="D1873" s="2" t="s">
        <v>12</v>
      </c>
      <c r="E1873" s="2" t="s">
        <v>18</v>
      </c>
    </row>
    <row r="1874" spans="1:5" x14ac:dyDescent="0.25">
      <c r="A1874" s="2">
        <v>180</v>
      </c>
      <c r="B1874" s="2">
        <v>3</v>
      </c>
      <c r="C1874" s="8">
        <v>45679</v>
      </c>
      <c r="D1874" s="2" t="s">
        <v>19</v>
      </c>
      <c r="E1874" s="2" t="s">
        <v>13</v>
      </c>
    </row>
    <row r="1875" spans="1:5" x14ac:dyDescent="0.25">
      <c r="A1875" s="2">
        <v>204</v>
      </c>
      <c r="B1875" s="2">
        <v>4</v>
      </c>
      <c r="C1875" s="8">
        <v>45661</v>
      </c>
      <c r="D1875" s="2" t="s">
        <v>12</v>
      </c>
      <c r="E1875" s="2" t="s">
        <v>18</v>
      </c>
    </row>
    <row r="1876" spans="1:5" x14ac:dyDescent="0.25">
      <c r="A1876" s="2">
        <v>1954</v>
      </c>
      <c r="B1876" s="2">
        <v>51</v>
      </c>
      <c r="C1876" s="8">
        <v>45974</v>
      </c>
      <c r="D1876" s="2" t="s">
        <v>12</v>
      </c>
      <c r="E1876" s="2" t="s">
        <v>16</v>
      </c>
    </row>
    <row r="1877" spans="1:5" x14ac:dyDescent="0.25">
      <c r="A1877" s="2">
        <v>1856</v>
      </c>
      <c r="B1877" s="2">
        <v>48</v>
      </c>
      <c r="C1877" s="8">
        <v>45950</v>
      </c>
      <c r="D1877" s="2" t="s">
        <v>12</v>
      </c>
      <c r="E1877" s="2" t="s">
        <v>16</v>
      </c>
    </row>
    <row r="1878" spans="1:5" x14ac:dyDescent="0.25">
      <c r="A1878" s="2">
        <v>1271</v>
      </c>
      <c r="B1878" s="2">
        <v>33</v>
      </c>
      <c r="C1878" s="8">
        <v>45854</v>
      </c>
      <c r="D1878" s="2" t="s">
        <v>12</v>
      </c>
      <c r="E1878" s="2" t="s">
        <v>13</v>
      </c>
    </row>
    <row r="1879" spans="1:5" x14ac:dyDescent="0.25">
      <c r="A1879" s="2">
        <v>1438</v>
      </c>
      <c r="B1879" s="2">
        <v>38</v>
      </c>
      <c r="C1879" s="8">
        <v>45889</v>
      </c>
      <c r="D1879" s="2" t="s">
        <v>15</v>
      </c>
      <c r="E1879" s="2" t="s">
        <v>14</v>
      </c>
    </row>
    <row r="1880" spans="1:5" x14ac:dyDescent="0.25">
      <c r="A1880" s="2">
        <v>581</v>
      </c>
      <c r="B1880" s="2">
        <v>13</v>
      </c>
      <c r="C1880" s="8" t="s">
        <v>48</v>
      </c>
      <c r="D1880" s="2" t="s">
        <v>12</v>
      </c>
      <c r="E1880" s="2" t="s">
        <v>14</v>
      </c>
    </row>
    <row r="1881" spans="1:5" x14ac:dyDescent="0.25">
      <c r="A1881" s="2">
        <v>1299</v>
      </c>
      <c r="B1881" s="2">
        <v>33</v>
      </c>
      <c r="C1881" s="8">
        <v>45864</v>
      </c>
      <c r="D1881" s="2" t="s">
        <v>12</v>
      </c>
      <c r="E1881" s="2" t="s">
        <v>18</v>
      </c>
    </row>
    <row r="1882" spans="1:5" x14ac:dyDescent="0.25">
      <c r="A1882" s="2">
        <v>896</v>
      </c>
      <c r="B1882" s="2">
        <v>22</v>
      </c>
      <c r="C1882" s="8">
        <v>45790</v>
      </c>
      <c r="D1882" s="2" t="s">
        <v>15</v>
      </c>
      <c r="E1882" s="2" t="s">
        <v>16</v>
      </c>
    </row>
    <row r="1883" spans="1:5" x14ac:dyDescent="0.25">
      <c r="A1883" s="2">
        <v>1394</v>
      </c>
      <c r="B1883" s="2">
        <v>36</v>
      </c>
      <c r="C1883" s="8">
        <v>45872</v>
      </c>
      <c r="D1883" s="2" t="s">
        <v>20</v>
      </c>
      <c r="E1883" s="2" t="s">
        <v>16</v>
      </c>
    </row>
    <row r="1884" spans="1:5" x14ac:dyDescent="0.25">
      <c r="A1884" s="2">
        <v>2008</v>
      </c>
      <c r="B1884" s="2">
        <v>53</v>
      </c>
      <c r="C1884" s="8">
        <v>45974</v>
      </c>
      <c r="D1884" s="2" t="s">
        <v>19</v>
      </c>
      <c r="E1884" s="2" t="s">
        <v>16</v>
      </c>
    </row>
    <row r="1885" spans="1:5" x14ac:dyDescent="0.25">
      <c r="A1885" s="2">
        <v>1351</v>
      </c>
      <c r="B1885" s="2">
        <v>33</v>
      </c>
      <c r="C1885" s="8">
        <v>45853</v>
      </c>
      <c r="D1885" s="2" t="s">
        <v>20</v>
      </c>
      <c r="E1885" s="2" t="s">
        <v>13</v>
      </c>
    </row>
    <row r="1886" spans="1:5" x14ac:dyDescent="0.25">
      <c r="A1886" s="2">
        <v>1731</v>
      </c>
      <c r="B1886" s="2">
        <v>44</v>
      </c>
      <c r="C1886" s="8">
        <v>45902</v>
      </c>
      <c r="D1886" s="2" t="s">
        <v>20</v>
      </c>
      <c r="E1886" s="2" t="s">
        <v>13</v>
      </c>
    </row>
    <row r="1887" spans="1:5" x14ac:dyDescent="0.25">
      <c r="A1887" s="2">
        <v>584</v>
      </c>
      <c r="B1887" s="2">
        <v>13</v>
      </c>
      <c r="C1887" s="8">
        <v>45741</v>
      </c>
      <c r="D1887" s="2" t="s">
        <v>12</v>
      </c>
      <c r="E1887" s="2" t="s">
        <v>16</v>
      </c>
    </row>
    <row r="1888" spans="1:5" x14ac:dyDescent="0.25">
      <c r="A1888" s="2">
        <v>782</v>
      </c>
      <c r="B1888" s="2">
        <v>19</v>
      </c>
      <c r="C1888" s="8">
        <v>45769</v>
      </c>
      <c r="D1888" s="2" t="s">
        <v>12</v>
      </c>
      <c r="E1888" s="2" t="s">
        <v>16</v>
      </c>
    </row>
    <row r="1889" spans="1:5" x14ac:dyDescent="0.25">
      <c r="A1889" s="2">
        <v>893</v>
      </c>
      <c r="B1889" s="2">
        <v>22</v>
      </c>
      <c r="C1889" s="8">
        <v>45792</v>
      </c>
      <c r="D1889" s="2" t="s">
        <v>19</v>
      </c>
      <c r="E1889" s="2" t="s">
        <v>18</v>
      </c>
    </row>
    <row r="1890" spans="1:5" x14ac:dyDescent="0.25">
      <c r="A1890" s="2">
        <v>1112</v>
      </c>
      <c r="B1890" s="2">
        <v>28</v>
      </c>
      <c r="C1890" s="8">
        <v>45813</v>
      </c>
      <c r="D1890" s="2" t="s">
        <v>20</v>
      </c>
      <c r="E1890" s="2" t="s">
        <v>13</v>
      </c>
    </row>
    <row r="1891" spans="1:5" x14ac:dyDescent="0.25">
      <c r="A1891" s="2">
        <v>334</v>
      </c>
      <c r="B1891" s="2">
        <v>8</v>
      </c>
      <c r="C1891" s="8">
        <v>45691</v>
      </c>
      <c r="D1891" s="2" t="s">
        <v>19</v>
      </c>
      <c r="E1891" s="2" t="s">
        <v>16</v>
      </c>
    </row>
    <row r="1892" spans="1:5" x14ac:dyDescent="0.25">
      <c r="A1892" s="2">
        <v>1219</v>
      </c>
      <c r="B1892" s="2">
        <v>31</v>
      </c>
      <c r="C1892" s="8">
        <v>45852</v>
      </c>
      <c r="D1892" s="2" t="s">
        <v>12</v>
      </c>
      <c r="E1892" s="2" t="s">
        <v>16</v>
      </c>
    </row>
    <row r="1893" spans="1:5" x14ac:dyDescent="0.25">
      <c r="A1893" s="2">
        <v>1133</v>
      </c>
      <c r="B1893" s="2">
        <v>28</v>
      </c>
      <c r="C1893" s="8">
        <v>45814</v>
      </c>
      <c r="D1893" s="2" t="s">
        <v>20</v>
      </c>
      <c r="E1893" s="2" t="s">
        <v>16</v>
      </c>
    </row>
    <row r="1894" spans="1:5" x14ac:dyDescent="0.25">
      <c r="A1894" s="2">
        <v>363</v>
      </c>
      <c r="B1894" s="2">
        <v>8</v>
      </c>
      <c r="C1894" s="8">
        <v>45712</v>
      </c>
      <c r="D1894" s="2" t="s">
        <v>12</v>
      </c>
      <c r="E1894" s="2" t="s">
        <v>13</v>
      </c>
    </row>
    <row r="1895" spans="1:5" x14ac:dyDescent="0.25">
      <c r="A1895" s="2">
        <v>765</v>
      </c>
      <c r="B1895" s="2">
        <v>18</v>
      </c>
      <c r="C1895" s="8">
        <v>45773</v>
      </c>
      <c r="D1895" s="2" t="s">
        <v>20</v>
      </c>
      <c r="E1895" s="2" t="s">
        <v>13</v>
      </c>
    </row>
    <row r="1896" spans="1:5" x14ac:dyDescent="0.25">
      <c r="A1896" s="2">
        <v>2021</v>
      </c>
      <c r="B1896" s="2">
        <v>53</v>
      </c>
      <c r="C1896" s="8">
        <v>45969</v>
      </c>
      <c r="D1896" s="2" t="s">
        <v>12</v>
      </c>
      <c r="E1896" s="2" t="s">
        <v>18</v>
      </c>
    </row>
    <row r="1897" spans="1:5" x14ac:dyDescent="0.25">
      <c r="A1897" s="2">
        <v>1971</v>
      </c>
      <c r="B1897" s="2">
        <v>51</v>
      </c>
      <c r="C1897" s="8">
        <v>45984</v>
      </c>
      <c r="D1897" s="2" t="s">
        <v>12</v>
      </c>
      <c r="E1897" s="2" t="s">
        <v>18</v>
      </c>
    </row>
    <row r="1898" spans="1:5" x14ac:dyDescent="0.25">
      <c r="A1898" s="2">
        <v>2045</v>
      </c>
      <c r="B1898" s="2">
        <v>54</v>
      </c>
      <c r="C1898" s="8">
        <v>45986</v>
      </c>
      <c r="D1898" s="2" t="s">
        <v>15</v>
      </c>
      <c r="E1898" s="2" t="s">
        <v>18</v>
      </c>
    </row>
    <row r="1899" spans="1:5" x14ac:dyDescent="0.25">
      <c r="A1899" s="2">
        <v>1898</v>
      </c>
      <c r="B1899" s="2">
        <v>48</v>
      </c>
      <c r="C1899" s="8">
        <v>45941</v>
      </c>
      <c r="D1899" s="2" t="s">
        <v>20</v>
      </c>
      <c r="E1899" s="2" t="s">
        <v>13</v>
      </c>
    </row>
    <row r="1900" spans="1:5" x14ac:dyDescent="0.25">
      <c r="A1900" s="2">
        <v>1965</v>
      </c>
      <c r="B1900" s="2">
        <v>51</v>
      </c>
      <c r="C1900" s="8">
        <v>45971</v>
      </c>
      <c r="D1900" s="2" t="s">
        <v>20</v>
      </c>
      <c r="E1900" s="2" t="s">
        <v>18</v>
      </c>
    </row>
    <row r="1901" spans="1:5" x14ac:dyDescent="0.25">
      <c r="A1901" s="2">
        <v>688</v>
      </c>
      <c r="B1901" s="2">
        <v>17</v>
      </c>
      <c r="C1901" s="8">
        <v>45765</v>
      </c>
      <c r="D1901" s="2" t="s">
        <v>15</v>
      </c>
      <c r="E1901" s="2" t="s">
        <v>18</v>
      </c>
    </row>
    <row r="1902" spans="1:5" x14ac:dyDescent="0.25">
      <c r="A1902" s="2">
        <v>1567</v>
      </c>
      <c r="B1902" s="2">
        <v>41</v>
      </c>
      <c r="C1902" s="8">
        <v>45916</v>
      </c>
      <c r="D1902" s="2" t="s">
        <v>12</v>
      </c>
      <c r="E1902" s="2" t="s">
        <v>16</v>
      </c>
    </row>
    <row r="1903" spans="1:5" x14ac:dyDescent="0.25">
      <c r="A1903" s="2">
        <v>1072</v>
      </c>
      <c r="B1903" s="2">
        <v>27</v>
      </c>
      <c r="C1903" s="8">
        <v>45822</v>
      </c>
      <c r="D1903" s="2" t="s">
        <v>15</v>
      </c>
      <c r="E1903" s="2" t="s">
        <v>16</v>
      </c>
    </row>
    <row r="1904" spans="1:5" x14ac:dyDescent="0.25">
      <c r="A1904" s="2">
        <v>873</v>
      </c>
      <c r="B1904" s="2">
        <v>22</v>
      </c>
      <c r="C1904" s="8">
        <v>45789</v>
      </c>
      <c r="D1904" s="2" t="s">
        <v>12</v>
      </c>
      <c r="E1904" s="2" t="s">
        <v>13</v>
      </c>
    </row>
    <row r="1905" spans="1:5" x14ac:dyDescent="0.25">
      <c r="A1905" s="2">
        <v>1111</v>
      </c>
      <c r="B1905" s="2">
        <v>28</v>
      </c>
      <c r="C1905" s="8">
        <v>45829</v>
      </c>
      <c r="D1905" s="2" t="s">
        <v>15</v>
      </c>
      <c r="E1905" s="2" t="s">
        <v>16</v>
      </c>
    </row>
    <row r="1906" spans="1:5" x14ac:dyDescent="0.25">
      <c r="A1906" s="2">
        <v>1697</v>
      </c>
      <c r="B1906" s="2">
        <v>43</v>
      </c>
      <c r="C1906" s="8">
        <v>45912</v>
      </c>
      <c r="D1906" s="2" t="s">
        <v>12</v>
      </c>
      <c r="E1906" s="2" t="s">
        <v>13</v>
      </c>
    </row>
    <row r="1907" spans="1:5" x14ac:dyDescent="0.25">
      <c r="A1907" s="2">
        <v>722</v>
      </c>
      <c r="B1907" s="2">
        <v>18</v>
      </c>
      <c r="C1907" s="8">
        <v>45769</v>
      </c>
      <c r="D1907" s="2" t="s">
        <v>12</v>
      </c>
      <c r="E1907" s="2" t="s">
        <v>14</v>
      </c>
    </row>
    <row r="1908" spans="1:5" x14ac:dyDescent="0.25">
      <c r="A1908" s="2">
        <v>721</v>
      </c>
      <c r="B1908" s="2">
        <v>18</v>
      </c>
      <c r="C1908" s="8" t="s">
        <v>49</v>
      </c>
      <c r="D1908" s="2" t="s">
        <v>12</v>
      </c>
      <c r="E1908" s="2" t="s">
        <v>18</v>
      </c>
    </row>
    <row r="1909" spans="1:5" x14ac:dyDescent="0.25">
      <c r="A1909" s="2">
        <v>841</v>
      </c>
      <c r="B1909" s="2">
        <v>21</v>
      </c>
      <c r="C1909" s="8">
        <v>45795</v>
      </c>
      <c r="D1909" s="2" t="s">
        <v>19</v>
      </c>
      <c r="E1909" s="2" t="s">
        <v>16</v>
      </c>
    </row>
    <row r="1910" spans="1:5" x14ac:dyDescent="0.25">
      <c r="A1910" s="2">
        <v>848</v>
      </c>
      <c r="B1910" s="2">
        <v>21</v>
      </c>
      <c r="C1910" s="8">
        <v>45798</v>
      </c>
      <c r="D1910" s="2" t="s">
        <v>12</v>
      </c>
      <c r="E1910" s="2" t="s">
        <v>13</v>
      </c>
    </row>
    <row r="1911" spans="1:5" x14ac:dyDescent="0.25">
      <c r="A1911" s="2">
        <v>934</v>
      </c>
      <c r="B1911" s="2">
        <v>23</v>
      </c>
      <c r="C1911" s="8">
        <v>45784</v>
      </c>
      <c r="D1911" s="2" t="s">
        <v>12</v>
      </c>
      <c r="E1911" s="2" t="s">
        <v>13</v>
      </c>
    </row>
    <row r="1912" spans="1:5" x14ac:dyDescent="0.25">
      <c r="A1912" s="2">
        <v>1329</v>
      </c>
      <c r="B1912" s="2">
        <v>33</v>
      </c>
      <c r="C1912" s="8">
        <v>45861</v>
      </c>
      <c r="D1912" s="2" t="s">
        <v>15</v>
      </c>
      <c r="E1912" s="2" t="s">
        <v>18</v>
      </c>
    </row>
    <row r="1913" spans="1:5" x14ac:dyDescent="0.25">
      <c r="A1913" s="2">
        <v>1968</v>
      </c>
      <c r="B1913" s="2">
        <v>51</v>
      </c>
      <c r="C1913" s="8">
        <v>45982</v>
      </c>
      <c r="D1913" s="2" t="s">
        <v>20</v>
      </c>
      <c r="E1913" s="2" t="s">
        <v>14</v>
      </c>
    </row>
    <row r="1914" spans="1:5" x14ac:dyDescent="0.25">
      <c r="A1914" s="2">
        <v>1433</v>
      </c>
      <c r="B1914" s="2">
        <v>37</v>
      </c>
      <c r="C1914" s="8">
        <v>45891</v>
      </c>
      <c r="D1914" s="2" t="s">
        <v>19</v>
      </c>
      <c r="E1914" s="2" t="s">
        <v>13</v>
      </c>
    </row>
    <row r="1915" spans="1:5" x14ac:dyDescent="0.25">
      <c r="A1915" s="2">
        <v>2057</v>
      </c>
      <c r="B1915" s="2">
        <v>55</v>
      </c>
      <c r="C1915" s="8">
        <v>45963</v>
      </c>
      <c r="D1915" s="2" t="s">
        <v>15</v>
      </c>
      <c r="E1915" s="2" t="s">
        <v>18</v>
      </c>
    </row>
    <row r="1916" spans="1:5" x14ac:dyDescent="0.25">
      <c r="A1916" s="2">
        <v>1778</v>
      </c>
      <c r="B1916" s="2">
        <v>46</v>
      </c>
      <c r="C1916" s="8">
        <v>45956</v>
      </c>
      <c r="D1916" s="2" t="s">
        <v>15</v>
      </c>
      <c r="E1916" s="2" t="s">
        <v>14</v>
      </c>
    </row>
    <row r="1917" spans="1:5" x14ac:dyDescent="0.25">
      <c r="A1917" s="2">
        <v>1678</v>
      </c>
      <c r="B1917" s="2">
        <v>43</v>
      </c>
      <c r="C1917" s="8">
        <v>45906</v>
      </c>
      <c r="D1917" s="2" t="s">
        <v>15</v>
      </c>
      <c r="E1917" s="2" t="s">
        <v>13</v>
      </c>
    </row>
    <row r="1918" spans="1:5" x14ac:dyDescent="0.25">
      <c r="A1918" s="2">
        <v>1029</v>
      </c>
      <c r="B1918" s="2">
        <v>27</v>
      </c>
      <c r="C1918" s="8" t="s">
        <v>50</v>
      </c>
      <c r="D1918" s="2" t="s">
        <v>19</v>
      </c>
      <c r="E1918" s="2" t="s">
        <v>16</v>
      </c>
    </row>
    <row r="1919" spans="1:5" x14ac:dyDescent="0.25">
      <c r="A1919" s="2">
        <v>629</v>
      </c>
      <c r="B1919" s="2">
        <v>16</v>
      </c>
      <c r="C1919" s="8">
        <v>45774</v>
      </c>
      <c r="D1919" s="2" t="s">
        <v>12</v>
      </c>
      <c r="E1919" s="2" t="s">
        <v>16</v>
      </c>
    </row>
    <row r="1920" spans="1:5" x14ac:dyDescent="0.25">
      <c r="A1920" s="2">
        <v>1972</v>
      </c>
      <c r="B1920" s="2">
        <v>51</v>
      </c>
      <c r="C1920" s="8">
        <v>45982</v>
      </c>
      <c r="D1920" s="2" t="s">
        <v>12</v>
      </c>
      <c r="E1920" s="2" t="s">
        <v>18</v>
      </c>
    </row>
    <row r="1921" spans="1:5" x14ac:dyDescent="0.25">
      <c r="A1921" s="2">
        <v>619</v>
      </c>
      <c r="B1921" s="2">
        <v>15</v>
      </c>
      <c r="C1921" s="8">
        <v>45725</v>
      </c>
      <c r="D1921" s="2" t="s">
        <v>15</v>
      </c>
      <c r="E1921" s="2" t="s">
        <v>13</v>
      </c>
    </row>
    <row r="1922" spans="1:5" x14ac:dyDescent="0.25">
      <c r="A1922" s="2">
        <v>34</v>
      </c>
      <c r="B1922" s="2">
        <v>1</v>
      </c>
      <c r="C1922" s="8">
        <v>45681</v>
      </c>
      <c r="D1922" s="2" t="s">
        <v>12</v>
      </c>
      <c r="E1922" s="2" t="s">
        <v>14</v>
      </c>
    </row>
    <row r="1923" spans="1:5" x14ac:dyDescent="0.25">
      <c r="A1923" s="2">
        <v>746</v>
      </c>
      <c r="B1923" s="2">
        <v>18</v>
      </c>
      <c r="C1923" s="8">
        <v>45760</v>
      </c>
      <c r="D1923" s="2" t="s">
        <v>12</v>
      </c>
      <c r="E1923" s="2" t="s">
        <v>13</v>
      </c>
    </row>
    <row r="1924" spans="1:5" x14ac:dyDescent="0.25">
      <c r="A1924" s="2">
        <v>1667</v>
      </c>
      <c r="B1924" s="2">
        <v>43</v>
      </c>
      <c r="C1924" s="8">
        <v>45927</v>
      </c>
      <c r="D1924" s="2" t="s">
        <v>17</v>
      </c>
      <c r="E1924" s="2" t="s">
        <v>18</v>
      </c>
    </row>
    <row r="1925" spans="1:5" x14ac:dyDescent="0.25">
      <c r="A1925" s="2">
        <v>759</v>
      </c>
      <c r="B1925" s="2">
        <v>18</v>
      </c>
      <c r="C1925" s="8">
        <v>45769</v>
      </c>
      <c r="D1925" s="2" t="s">
        <v>12</v>
      </c>
      <c r="E1925" s="2" t="s">
        <v>13</v>
      </c>
    </row>
    <row r="1926" spans="1:5" x14ac:dyDescent="0.25">
      <c r="A1926" s="2">
        <v>1974</v>
      </c>
      <c r="B1926" s="2">
        <v>51</v>
      </c>
      <c r="C1926" s="8">
        <v>45981</v>
      </c>
      <c r="D1926" s="2" t="s">
        <v>20</v>
      </c>
      <c r="E1926" s="2" t="s">
        <v>13</v>
      </c>
    </row>
    <row r="1927" spans="1:5" x14ac:dyDescent="0.25">
      <c r="A1927" s="2">
        <v>1182</v>
      </c>
      <c r="B1927" s="2">
        <v>30</v>
      </c>
      <c r="C1927" s="8">
        <v>45812</v>
      </c>
      <c r="D1927" s="2" t="s">
        <v>12</v>
      </c>
      <c r="E1927" s="2" t="s">
        <v>13</v>
      </c>
    </row>
    <row r="1928" spans="1:5" x14ac:dyDescent="0.25">
      <c r="A1928" s="2">
        <v>1392</v>
      </c>
      <c r="B1928" s="2">
        <v>36</v>
      </c>
      <c r="C1928" s="8">
        <v>45879</v>
      </c>
      <c r="D1928" s="2" t="s">
        <v>12</v>
      </c>
      <c r="E1928" s="2" t="s">
        <v>16</v>
      </c>
    </row>
    <row r="1929" spans="1:5" x14ac:dyDescent="0.25">
      <c r="A1929" s="2">
        <v>392</v>
      </c>
      <c r="B1929" s="2">
        <v>9</v>
      </c>
      <c r="C1929" s="8">
        <v>45703</v>
      </c>
      <c r="D1929" s="2" t="s">
        <v>12</v>
      </c>
      <c r="E1929" s="2" t="s">
        <v>14</v>
      </c>
    </row>
    <row r="1930" spans="1:5" x14ac:dyDescent="0.25">
      <c r="A1930" s="2">
        <v>430</v>
      </c>
      <c r="B1930" s="2">
        <v>10</v>
      </c>
      <c r="C1930" s="8">
        <v>45715</v>
      </c>
      <c r="D1930" s="2" t="s">
        <v>20</v>
      </c>
      <c r="E1930" s="2" t="s">
        <v>16</v>
      </c>
    </row>
    <row r="1931" spans="1:5" x14ac:dyDescent="0.25">
      <c r="A1931" s="2">
        <v>713</v>
      </c>
      <c r="B1931" s="2">
        <v>18</v>
      </c>
      <c r="C1931" s="8">
        <v>45775</v>
      </c>
      <c r="D1931" s="2" t="s">
        <v>12</v>
      </c>
      <c r="E1931" s="2" t="s">
        <v>16</v>
      </c>
    </row>
    <row r="1932" spans="1:5" x14ac:dyDescent="0.25">
      <c r="A1932" s="2">
        <v>443</v>
      </c>
      <c r="B1932" s="2">
        <v>11</v>
      </c>
      <c r="C1932" s="8">
        <v>45732</v>
      </c>
      <c r="D1932" s="2" t="s">
        <v>12</v>
      </c>
      <c r="E1932" s="2" t="s">
        <v>14</v>
      </c>
    </row>
    <row r="1933" spans="1:5" x14ac:dyDescent="0.25">
      <c r="A1933" s="2">
        <v>774</v>
      </c>
      <c r="B1933" s="2">
        <v>18</v>
      </c>
      <c r="C1933" s="8">
        <v>45757</v>
      </c>
      <c r="D1933" s="2" t="s">
        <v>12</v>
      </c>
      <c r="E1933" s="2" t="s">
        <v>16</v>
      </c>
    </row>
    <row r="1934" spans="1:5" x14ac:dyDescent="0.25">
      <c r="A1934" s="2">
        <v>1231</v>
      </c>
      <c r="B1934" s="2">
        <v>32</v>
      </c>
      <c r="C1934" s="8">
        <v>45855</v>
      </c>
      <c r="D1934" s="2" t="s">
        <v>19</v>
      </c>
      <c r="E1934" s="2" t="s">
        <v>18</v>
      </c>
    </row>
    <row r="1935" spans="1:5" x14ac:dyDescent="0.25">
      <c r="A1935" s="2">
        <v>341</v>
      </c>
      <c r="B1935" s="2">
        <v>8</v>
      </c>
      <c r="C1935" s="8">
        <v>45716</v>
      </c>
      <c r="D1935" s="2" t="s">
        <v>20</v>
      </c>
      <c r="E1935" s="2" t="s">
        <v>16</v>
      </c>
    </row>
    <row r="1936" spans="1:5" x14ac:dyDescent="0.25">
      <c r="A1936" s="2">
        <v>1586</v>
      </c>
      <c r="B1936" s="2">
        <v>42</v>
      </c>
      <c r="C1936" s="8">
        <v>45919</v>
      </c>
      <c r="D1936" s="2" t="s">
        <v>20</v>
      </c>
      <c r="E1936" s="2" t="s">
        <v>18</v>
      </c>
    </row>
    <row r="1937" spans="1:5" x14ac:dyDescent="0.25">
      <c r="A1937" s="2">
        <v>1119</v>
      </c>
      <c r="B1937" s="2">
        <v>28</v>
      </c>
      <c r="C1937" s="8">
        <v>45829</v>
      </c>
      <c r="D1937" s="2" t="s">
        <v>12</v>
      </c>
      <c r="E1937" s="2" t="s">
        <v>18</v>
      </c>
    </row>
    <row r="1938" spans="1:5" x14ac:dyDescent="0.25">
      <c r="A1938" s="2">
        <v>2004</v>
      </c>
      <c r="B1938" s="2">
        <v>53</v>
      </c>
      <c r="C1938" s="8">
        <v>45971</v>
      </c>
      <c r="D1938" s="2" t="s">
        <v>15</v>
      </c>
      <c r="E1938" s="2" t="s">
        <v>14</v>
      </c>
    </row>
    <row r="1939" spans="1:5" x14ac:dyDescent="0.25">
      <c r="A1939" s="2">
        <v>861</v>
      </c>
      <c r="B1939" s="2">
        <v>21</v>
      </c>
      <c r="C1939" s="8">
        <v>45782</v>
      </c>
      <c r="D1939" s="2" t="s">
        <v>12</v>
      </c>
      <c r="E1939" s="2" t="s">
        <v>18</v>
      </c>
    </row>
    <row r="1940" spans="1:5" x14ac:dyDescent="0.25">
      <c r="A1940" s="2">
        <v>385</v>
      </c>
      <c r="B1940" s="2">
        <v>9</v>
      </c>
      <c r="C1940" s="8">
        <v>45704</v>
      </c>
      <c r="D1940" s="2" t="s">
        <v>20</v>
      </c>
      <c r="E1940" s="2" t="s">
        <v>16</v>
      </c>
    </row>
    <row r="1941" spans="1:5" x14ac:dyDescent="0.25">
      <c r="A1941" s="2">
        <v>1528</v>
      </c>
      <c r="B1941" s="2">
        <v>39</v>
      </c>
      <c r="C1941" s="8">
        <v>45887</v>
      </c>
      <c r="D1941" s="2" t="s">
        <v>20</v>
      </c>
      <c r="E1941" s="2" t="s">
        <v>13</v>
      </c>
    </row>
    <row r="1942" spans="1:5" x14ac:dyDescent="0.25">
      <c r="A1942" s="2">
        <v>448</v>
      </c>
      <c r="B1942" s="2">
        <v>11</v>
      </c>
      <c r="C1942" s="8">
        <v>45728</v>
      </c>
      <c r="D1942" s="2" t="s">
        <v>19</v>
      </c>
      <c r="E1942" s="2" t="s">
        <v>16</v>
      </c>
    </row>
    <row r="1943" spans="1:5" x14ac:dyDescent="0.25">
      <c r="A1943" s="2">
        <v>75</v>
      </c>
      <c r="B1943" s="2">
        <v>2</v>
      </c>
      <c r="C1943" s="8">
        <v>45670</v>
      </c>
      <c r="D1943" s="2" t="s">
        <v>12</v>
      </c>
      <c r="E1943" s="2" t="s">
        <v>16</v>
      </c>
    </row>
    <row r="1944" spans="1:5" x14ac:dyDescent="0.25">
      <c r="A1944" s="2">
        <v>200</v>
      </c>
      <c r="B1944" s="2">
        <v>4</v>
      </c>
      <c r="C1944" s="8">
        <v>45672</v>
      </c>
      <c r="D1944" s="2" t="s">
        <v>17</v>
      </c>
      <c r="E1944" s="2" t="s">
        <v>13</v>
      </c>
    </row>
    <row r="1945" spans="1:5" x14ac:dyDescent="0.25">
      <c r="A1945" s="2">
        <v>1987</v>
      </c>
      <c r="B1945" s="2">
        <v>52</v>
      </c>
      <c r="C1945" s="8">
        <v>45985</v>
      </c>
      <c r="D1945" s="2" t="s">
        <v>20</v>
      </c>
      <c r="E1945" s="2" t="s">
        <v>18</v>
      </c>
    </row>
    <row r="1946" spans="1:5" x14ac:dyDescent="0.25">
      <c r="A1946" s="2">
        <v>1309</v>
      </c>
      <c r="B1946" s="2">
        <v>33</v>
      </c>
      <c r="C1946" s="8">
        <v>45846</v>
      </c>
      <c r="D1946" s="2" t="s">
        <v>12</v>
      </c>
      <c r="E1946" s="2" t="s">
        <v>18</v>
      </c>
    </row>
    <row r="1947" spans="1:5" x14ac:dyDescent="0.25">
      <c r="A1947" s="2">
        <v>921</v>
      </c>
      <c r="B1947" s="2">
        <v>23</v>
      </c>
      <c r="C1947" s="8">
        <v>45784</v>
      </c>
      <c r="D1947" s="2" t="s">
        <v>20</v>
      </c>
      <c r="E1947" s="2" t="s">
        <v>18</v>
      </c>
    </row>
    <row r="1948" spans="1:5" x14ac:dyDescent="0.25">
      <c r="A1948" s="2">
        <v>2105</v>
      </c>
      <c r="B1948" s="2">
        <v>58</v>
      </c>
      <c r="C1948" s="8">
        <v>46001</v>
      </c>
      <c r="D1948" s="2" t="s">
        <v>12</v>
      </c>
      <c r="E1948" s="2" t="s">
        <v>16</v>
      </c>
    </row>
    <row r="1949" spans="1:5" x14ac:dyDescent="0.25">
      <c r="A1949" s="2">
        <v>258</v>
      </c>
      <c r="B1949" s="2">
        <v>6</v>
      </c>
      <c r="C1949" s="8">
        <v>45709</v>
      </c>
      <c r="D1949" s="2" t="s">
        <v>20</v>
      </c>
      <c r="E1949" s="2" t="s">
        <v>16</v>
      </c>
    </row>
    <row r="1950" spans="1:5" x14ac:dyDescent="0.25">
      <c r="A1950" s="2">
        <v>1756</v>
      </c>
      <c r="B1950" s="2">
        <v>45</v>
      </c>
      <c r="C1950" s="8">
        <v>45920</v>
      </c>
      <c r="D1950" s="2" t="s">
        <v>12</v>
      </c>
      <c r="E1950" s="2" t="s">
        <v>16</v>
      </c>
    </row>
    <row r="1951" spans="1:5" x14ac:dyDescent="0.25">
      <c r="A1951" s="2">
        <v>1705</v>
      </c>
      <c r="B1951" s="2">
        <v>43</v>
      </c>
      <c r="C1951" s="8">
        <v>45908</v>
      </c>
      <c r="D1951" s="2" t="s">
        <v>12</v>
      </c>
      <c r="E1951" s="2" t="s">
        <v>18</v>
      </c>
    </row>
    <row r="1952" spans="1:5" x14ac:dyDescent="0.25">
      <c r="A1952" s="2">
        <v>1932</v>
      </c>
      <c r="B1952" s="2">
        <v>50</v>
      </c>
      <c r="C1952" s="8">
        <v>45958</v>
      </c>
      <c r="D1952" s="2" t="s">
        <v>20</v>
      </c>
      <c r="E1952" s="2" t="s">
        <v>16</v>
      </c>
    </row>
    <row r="1953" spans="1:5" x14ac:dyDescent="0.25">
      <c r="A1953" s="2">
        <v>923</v>
      </c>
      <c r="B1953" s="2">
        <v>23</v>
      </c>
      <c r="C1953" s="8">
        <v>45795</v>
      </c>
      <c r="D1953" s="2" t="s">
        <v>20</v>
      </c>
      <c r="E1953" s="2" t="s">
        <v>16</v>
      </c>
    </row>
    <row r="1954" spans="1:5" x14ac:dyDescent="0.25">
      <c r="A1954" s="2">
        <v>8</v>
      </c>
      <c r="B1954" s="2">
        <v>1</v>
      </c>
      <c r="C1954" s="8">
        <v>45683</v>
      </c>
      <c r="D1954" s="2" t="s">
        <v>19</v>
      </c>
      <c r="E1954" s="2" t="s">
        <v>18</v>
      </c>
    </row>
    <row r="1955" spans="1:5" x14ac:dyDescent="0.25">
      <c r="A1955" s="2">
        <v>1480</v>
      </c>
      <c r="B1955" s="2">
        <v>38</v>
      </c>
      <c r="C1955" s="8">
        <v>45871</v>
      </c>
      <c r="D1955" s="2" t="s">
        <v>17</v>
      </c>
      <c r="E1955" s="2" t="s">
        <v>18</v>
      </c>
    </row>
    <row r="1956" spans="1:5" x14ac:dyDescent="0.25">
      <c r="A1956" s="2">
        <v>1067</v>
      </c>
      <c r="B1956" s="2">
        <v>27</v>
      </c>
      <c r="C1956" s="8">
        <v>45811</v>
      </c>
      <c r="D1956" s="2" t="s">
        <v>12</v>
      </c>
      <c r="E1956" s="2" t="s">
        <v>16</v>
      </c>
    </row>
    <row r="1957" spans="1:5" x14ac:dyDescent="0.25">
      <c r="A1957" s="2">
        <v>539</v>
      </c>
      <c r="B1957" s="2">
        <v>13</v>
      </c>
      <c r="C1957" s="8">
        <v>45718</v>
      </c>
      <c r="D1957" s="2" t="s">
        <v>20</v>
      </c>
      <c r="E1957" s="2" t="s">
        <v>16</v>
      </c>
    </row>
    <row r="1958" spans="1:5" x14ac:dyDescent="0.25">
      <c r="A1958" s="2">
        <v>833</v>
      </c>
      <c r="B1958" s="2">
        <v>21</v>
      </c>
      <c r="C1958" s="8">
        <v>45801</v>
      </c>
      <c r="D1958" s="2" t="s">
        <v>12</v>
      </c>
      <c r="E1958" s="2" t="s">
        <v>18</v>
      </c>
    </row>
    <row r="1959" spans="1:5" x14ac:dyDescent="0.25">
      <c r="A1959" s="2">
        <v>1381</v>
      </c>
      <c r="B1959" s="2">
        <v>35</v>
      </c>
      <c r="C1959" s="8">
        <v>45848</v>
      </c>
      <c r="D1959" s="2" t="s">
        <v>12</v>
      </c>
      <c r="E1959" s="2" t="s">
        <v>13</v>
      </c>
    </row>
    <row r="1960" spans="1:5" x14ac:dyDescent="0.25">
      <c r="A1960" s="2">
        <v>1623</v>
      </c>
      <c r="B1960" s="2">
        <v>42</v>
      </c>
      <c r="C1960" s="8">
        <v>45911</v>
      </c>
      <c r="D1960" s="2" t="s">
        <v>17</v>
      </c>
      <c r="E1960" s="2" t="s">
        <v>14</v>
      </c>
    </row>
    <row r="1961" spans="1:5" x14ac:dyDescent="0.25">
      <c r="A1961" s="2">
        <v>233</v>
      </c>
      <c r="B1961" s="2">
        <v>6</v>
      </c>
      <c r="C1961" s="8">
        <v>45703</v>
      </c>
      <c r="D1961" s="2" t="s">
        <v>15</v>
      </c>
      <c r="E1961" s="2" t="s">
        <v>14</v>
      </c>
    </row>
    <row r="1962" spans="1:5" x14ac:dyDescent="0.25">
      <c r="A1962" s="2">
        <v>1975</v>
      </c>
      <c r="B1962" s="2">
        <v>51</v>
      </c>
      <c r="C1962" s="8">
        <v>45983</v>
      </c>
      <c r="D1962" s="2" t="s">
        <v>17</v>
      </c>
      <c r="E1962" s="2" t="s">
        <v>16</v>
      </c>
    </row>
    <row r="1963" spans="1:5" x14ac:dyDescent="0.25">
      <c r="A1963" s="2">
        <v>1771</v>
      </c>
      <c r="B1963" s="2">
        <v>46</v>
      </c>
      <c r="C1963" s="8">
        <v>45939</v>
      </c>
      <c r="D1963" s="2" t="s">
        <v>20</v>
      </c>
      <c r="E1963" s="2" t="s">
        <v>16</v>
      </c>
    </row>
    <row r="1964" spans="1:5" x14ac:dyDescent="0.25">
      <c r="A1964" s="2">
        <v>1023</v>
      </c>
      <c r="B1964" s="2">
        <v>26</v>
      </c>
      <c r="C1964" s="8">
        <v>45821</v>
      </c>
      <c r="D1964" s="2" t="s">
        <v>17</v>
      </c>
      <c r="E1964" s="2" t="s">
        <v>16</v>
      </c>
    </row>
    <row r="1965" spans="1:5" x14ac:dyDescent="0.25">
      <c r="A1965" s="2">
        <v>303</v>
      </c>
      <c r="B1965" s="2">
        <v>7</v>
      </c>
      <c r="C1965" s="8">
        <v>45709</v>
      </c>
      <c r="D1965" s="2" t="s">
        <v>19</v>
      </c>
      <c r="E1965" s="2" t="s">
        <v>16</v>
      </c>
    </row>
    <row r="1966" spans="1:5" x14ac:dyDescent="0.25">
      <c r="A1966" s="2">
        <v>1913</v>
      </c>
      <c r="B1966" s="2">
        <v>49</v>
      </c>
      <c r="C1966" s="8">
        <v>45956</v>
      </c>
      <c r="D1966" s="2" t="s">
        <v>15</v>
      </c>
      <c r="E1966" s="2" t="s">
        <v>18</v>
      </c>
    </row>
    <row r="1967" spans="1:5" x14ac:dyDescent="0.25">
      <c r="A1967" s="2">
        <v>940</v>
      </c>
      <c r="B1967" s="2">
        <v>23</v>
      </c>
      <c r="C1967" s="8">
        <v>45783</v>
      </c>
      <c r="D1967" s="2" t="s">
        <v>19</v>
      </c>
      <c r="E1967" s="2" t="s">
        <v>16</v>
      </c>
    </row>
    <row r="1968" spans="1:5" x14ac:dyDescent="0.25">
      <c r="A1968" s="2">
        <v>1837</v>
      </c>
      <c r="B1968" s="2">
        <v>47</v>
      </c>
      <c r="C1968" s="8">
        <v>45952</v>
      </c>
      <c r="D1968" s="2" t="s">
        <v>12</v>
      </c>
      <c r="E1968" s="2" t="s">
        <v>14</v>
      </c>
    </row>
    <row r="1969" spans="1:5" x14ac:dyDescent="0.25">
      <c r="A1969" s="2">
        <v>309</v>
      </c>
      <c r="B1969" s="2">
        <v>8</v>
      </c>
      <c r="C1969" s="8">
        <v>45702</v>
      </c>
      <c r="D1969" s="2" t="s">
        <v>15</v>
      </c>
      <c r="E1969" s="2" t="s">
        <v>16</v>
      </c>
    </row>
    <row r="1970" spans="1:5" x14ac:dyDescent="0.25">
      <c r="A1970" s="2">
        <v>30</v>
      </c>
      <c r="B1970" s="2">
        <v>1</v>
      </c>
      <c r="C1970" s="8">
        <v>45661</v>
      </c>
      <c r="D1970" s="2" t="s">
        <v>20</v>
      </c>
      <c r="E1970" s="2" t="s">
        <v>16</v>
      </c>
    </row>
    <row r="1971" spans="1:5" x14ac:dyDescent="0.25">
      <c r="A1971" s="2">
        <v>2094</v>
      </c>
      <c r="B1971" s="2">
        <v>57</v>
      </c>
      <c r="C1971" s="8">
        <v>46005</v>
      </c>
      <c r="D1971" s="2" t="s">
        <v>20</v>
      </c>
      <c r="E1971" s="2" t="s">
        <v>14</v>
      </c>
    </row>
    <row r="1972" spans="1:5" x14ac:dyDescent="0.25">
      <c r="A1972" s="2">
        <v>1502</v>
      </c>
      <c r="B1972" s="2">
        <v>38</v>
      </c>
      <c r="C1972" s="8">
        <v>45895</v>
      </c>
      <c r="D1972" s="2" t="s">
        <v>15</v>
      </c>
      <c r="E1972" s="2" t="s">
        <v>13</v>
      </c>
    </row>
    <row r="1973" spans="1:5" x14ac:dyDescent="0.25">
      <c r="A1973" s="2">
        <v>1509</v>
      </c>
      <c r="B1973" s="2">
        <v>38</v>
      </c>
      <c r="C1973" s="8">
        <v>45876</v>
      </c>
      <c r="D1973" s="2" t="s">
        <v>20</v>
      </c>
      <c r="E1973" s="2" t="s">
        <v>18</v>
      </c>
    </row>
    <row r="1974" spans="1:5" x14ac:dyDescent="0.25">
      <c r="A1974" s="2">
        <v>1691</v>
      </c>
      <c r="B1974" s="2">
        <v>43</v>
      </c>
      <c r="C1974" s="8">
        <v>45921</v>
      </c>
      <c r="D1974" s="2" t="s">
        <v>12</v>
      </c>
      <c r="E1974" s="2" t="s">
        <v>18</v>
      </c>
    </row>
    <row r="1975" spans="1:5" x14ac:dyDescent="0.25">
      <c r="A1975" s="2">
        <v>1522</v>
      </c>
      <c r="B1975" s="2">
        <v>39</v>
      </c>
      <c r="C1975" s="8">
        <v>45897</v>
      </c>
      <c r="D1975" s="2" t="s">
        <v>20</v>
      </c>
      <c r="E1975" s="2" t="s">
        <v>18</v>
      </c>
    </row>
    <row r="1976" spans="1:5" x14ac:dyDescent="0.25">
      <c r="A1976" s="2">
        <v>1504</v>
      </c>
      <c r="B1976" s="2">
        <v>38</v>
      </c>
      <c r="C1976" s="8">
        <v>45892</v>
      </c>
      <c r="D1976" s="2" t="s">
        <v>15</v>
      </c>
      <c r="E1976" s="2" t="s">
        <v>16</v>
      </c>
    </row>
    <row r="1977" spans="1:5" x14ac:dyDescent="0.25">
      <c r="A1977" s="2">
        <v>1924</v>
      </c>
      <c r="B1977" s="2">
        <v>49</v>
      </c>
      <c r="C1977" s="8">
        <v>45935</v>
      </c>
      <c r="D1977" s="2" t="s">
        <v>20</v>
      </c>
      <c r="E1977" s="2" t="s">
        <v>18</v>
      </c>
    </row>
    <row r="1978" spans="1:5" x14ac:dyDescent="0.25">
      <c r="A1978" s="2">
        <v>1687</v>
      </c>
      <c r="B1978" s="2">
        <v>43</v>
      </c>
      <c r="C1978" s="8">
        <v>45915</v>
      </c>
      <c r="D1978" s="2" t="s">
        <v>20</v>
      </c>
      <c r="E1978" s="2" t="s">
        <v>14</v>
      </c>
    </row>
    <row r="1979" spans="1:5" x14ac:dyDescent="0.25">
      <c r="A1979" s="2">
        <v>1361</v>
      </c>
      <c r="B1979" s="2">
        <v>34</v>
      </c>
      <c r="C1979" s="8">
        <v>45858</v>
      </c>
      <c r="D1979" s="2" t="s">
        <v>12</v>
      </c>
      <c r="E1979" s="2" t="s">
        <v>14</v>
      </c>
    </row>
    <row r="1980" spans="1:5" x14ac:dyDescent="0.25">
      <c r="A1980" s="2">
        <v>664</v>
      </c>
      <c r="B1980" s="2">
        <v>17</v>
      </c>
      <c r="C1980" s="8">
        <v>45755</v>
      </c>
      <c r="D1980" s="2" t="s">
        <v>19</v>
      </c>
      <c r="E1980" s="2" t="s">
        <v>18</v>
      </c>
    </row>
    <row r="1981" spans="1:5" x14ac:dyDescent="0.25">
      <c r="A1981" s="2">
        <v>297</v>
      </c>
      <c r="B1981" s="2">
        <v>7</v>
      </c>
      <c r="C1981" s="8">
        <v>45693</v>
      </c>
      <c r="D1981" s="2" t="s">
        <v>12</v>
      </c>
      <c r="E1981" s="2" t="s">
        <v>13</v>
      </c>
    </row>
    <row r="1982" spans="1:5" x14ac:dyDescent="0.25">
      <c r="A1982" s="2">
        <v>1263</v>
      </c>
      <c r="B1982" s="2">
        <v>32</v>
      </c>
      <c r="C1982" s="8">
        <v>45861</v>
      </c>
      <c r="D1982" s="2" t="s">
        <v>20</v>
      </c>
      <c r="E1982" s="2" t="s">
        <v>13</v>
      </c>
    </row>
    <row r="1983" spans="1:5" x14ac:dyDescent="0.25">
      <c r="A1983" s="2">
        <v>1185</v>
      </c>
      <c r="B1983" s="2">
        <v>30</v>
      </c>
      <c r="C1983" s="8">
        <v>45818</v>
      </c>
      <c r="D1983" s="2" t="s">
        <v>20</v>
      </c>
      <c r="E1983" s="2" t="s">
        <v>18</v>
      </c>
    </row>
    <row r="1984" spans="1:5" x14ac:dyDescent="0.25">
      <c r="A1984" s="2">
        <v>1368</v>
      </c>
      <c r="B1984" s="2">
        <v>34</v>
      </c>
      <c r="C1984" s="8">
        <v>45843</v>
      </c>
      <c r="D1984" s="2" t="s">
        <v>12</v>
      </c>
      <c r="E1984" s="2" t="s">
        <v>13</v>
      </c>
    </row>
    <row r="1985" spans="1:5" x14ac:dyDescent="0.25">
      <c r="A1985" s="2">
        <v>2056</v>
      </c>
      <c r="B1985" s="2">
        <v>54</v>
      </c>
      <c r="C1985" s="8">
        <v>45979</v>
      </c>
      <c r="D1985" s="2" t="s">
        <v>20</v>
      </c>
      <c r="E1985" s="2" t="s">
        <v>13</v>
      </c>
    </row>
    <row r="1986" spans="1:5" x14ac:dyDescent="0.25">
      <c r="A1986" s="2">
        <v>160</v>
      </c>
      <c r="B1986" s="2">
        <v>3</v>
      </c>
      <c r="C1986" s="8">
        <v>45660</v>
      </c>
      <c r="D1986" s="2" t="s">
        <v>20</v>
      </c>
      <c r="E1986" s="2" t="s">
        <v>16</v>
      </c>
    </row>
    <row r="1987" spans="1:5" x14ac:dyDescent="0.25">
      <c r="A1987" s="2">
        <v>2015</v>
      </c>
      <c r="B1987" s="2">
        <v>53</v>
      </c>
      <c r="C1987" s="8">
        <v>45986</v>
      </c>
      <c r="D1987" s="2" t="s">
        <v>20</v>
      </c>
      <c r="E1987" s="2" t="s">
        <v>18</v>
      </c>
    </row>
    <row r="1988" spans="1:5" x14ac:dyDescent="0.25">
      <c r="A1988" s="2">
        <v>1223</v>
      </c>
      <c r="B1988" s="2">
        <v>32</v>
      </c>
      <c r="C1988" s="8">
        <v>45841</v>
      </c>
      <c r="D1988" s="2" t="s">
        <v>12</v>
      </c>
      <c r="E1988" s="2" t="s">
        <v>13</v>
      </c>
    </row>
    <row r="1989" spans="1:5" x14ac:dyDescent="0.25">
      <c r="A1989" s="2">
        <v>1831</v>
      </c>
      <c r="B1989" s="2">
        <v>47</v>
      </c>
      <c r="C1989" s="8">
        <v>45944</v>
      </c>
      <c r="D1989" s="2" t="s">
        <v>20</v>
      </c>
      <c r="E1989" s="2" t="s">
        <v>13</v>
      </c>
    </row>
    <row r="1990" spans="1:5" x14ac:dyDescent="0.25">
      <c r="A1990" s="2">
        <v>1604</v>
      </c>
      <c r="B1990" s="2">
        <v>42</v>
      </c>
      <c r="C1990" s="8">
        <v>45916</v>
      </c>
      <c r="D1990" s="2" t="s">
        <v>20</v>
      </c>
      <c r="E1990" s="2" t="s">
        <v>16</v>
      </c>
    </row>
    <row r="1991" spans="1:5" x14ac:dyDescent="0.25">
      <c r="A1991" s="2">
        <v>1149</v>
      </c>
      <c r="B1991" s="2">
        <v>28</v>
      </c>
      <c r="C1991" s="8">
        <v>45813</v>
      </c>
      <c r="D1991" s="2" t="s">
        <v>15</v>
      </c>
      <c r="E1991" s="2" t="s">
        <v>13</v>
      </c>
    </row>
    <row r="1992" spans="1:5" x14ac:dyDescent="0.25">
      <c r="A1992" s="2">
        <v>21</v>
      </c>
      <c r="B1992" s="2">
        <v>1</v>
      </c>
      <c r="C1992" s="8">
        <v>45681</v>
      </c>
      <c r="D1992" s="2" t="s">
        <v>12</v>
      </c>
      <c r="E1992" s="2" t="s">
        <v>14</v>
      </c>
    </row>
    <row r="1993" spans="1:5" x14ac:dyDescent="0.25">
      <c r="A1993" s="2">
        <v>1686</v>
      </c>
      <c r="B1993" s="2">
        <v>43</v>
      </c>
      <c r="C1993" s="8">
        <v>45909</v>
      </c>
      <c r="D1993" s="2" t="s">
        <v>15</v>
      </c>
      <c r="E1993" s="2" t="s">
        <v>13</v>
      </c>
    </row>
    <row r="1994" spans="1:5" x14ac:dyDescent="0.25">
      <c r="A1994" s="2">
        <v>797</v>
      </c>
      <c r="B1994" s="2">
        <v>19</v>
      </c>
      <c r="C1994" s="8">
        <v>45773</v>
      </c>
      <c r="D1994" s="2" t="s">
        <v>12</v>
      </c>
      <c r="E1994" s="2" t="s">
        <v>18</v>
      </c>
    </row>
    <row r="1995" spans="1:5" x14ac:dyDescent="0.25">
      <c r="A1995" s="2">
        <v>1169</v>
      </c>
      <c r="B1995" s="2">
        <v>29</v>
      </c>
      <c r="C1995" s="8">
        <v>45821</v>
      </c>
      <c r="D1995" s="2" t="s">
        <v>12</v>
      </c>
      <c r="E1995" s="2" t="s">
        <v>18</v>
      </c>
    </row>
    <row r="1996" spans="1:5" x14ac:dyDescent="0.25">
      <c r="A1996" s="2">
        <v>1420</v>
      </c>
      <c r="B1996" s="2">
        <v>37</v>
      </c>
      <c r="C1996" s="8">
        <v>45881</v>
      </c>
      <c r="D1996" s="2" t="s">
        <v>15</v>
      </c>
      <c r="E1996" s="2" t="s">
        <v>16</v>
      </c>
    </row>
    <row r="1997" spans="1:5" x14ac:dyDescent="0.25">
      <c r="A1997" s="2">
        <v>1870</v>
      </c>
      <c r="B1997" s="2">
        <v>48</v>
      </c>
      <c r="C1997" s="8">
        <v>45937</v>
      </c>
      <c r="D1997" s="2" t="s">
        <v>20</v>
      </c>
      <c r="E1997" s="2" t="s">
        <v>18</v>
      </c>
    </row>
    <row r="1998" spans="1:5" x14ac:dyDescent="0.25">
      <c r="A1998" s="2">
        <v>727</v>
      </c>
      <c r="B1998" s="2">
        <v>18</v>
      </c>
      <c r="C1998" s="8">
        <v>45749</v>
      </c>
      <c r="D1998" s="2" t="s">
        <v>12</v>
      </c>
      <c r="E1998" s="2" t="s">
        <v>18</v>
      </c>
    </row>
    <row r="1999" spans="1:5" x14ac:dyDescent="0.25">
      <c r="A1999" s="2">
        <v>895</v>
      </c>
      <c r="B1999" s="2">
        <v>22</v>
      </c>
      <c r="C1999" s="8">
        <v>45794</v>
      </c>
      <c r="D1999" s="2" t="s">
        <v>15</v>
      </c>
      <c r="E1999" s="2" t="s">
        <v>16</v>
      </c>
    </row>
    <row r="2000" spans="1:5" x14ac:dyDescent="0.25">
      <c r="A2000" s="2">
        <v>1427</v>
      </c>
      <c r="B2000" s="2">
        <v>37</v>
      </c>
      <c r="C2000" s="8">
        <v>45873</v>
      </c>
      <c r="D2000" s="2" t="s">
        <v>20</v>
      </c>
      <c r="E2000" s="2" t="s">
        <v>18</v>
      </c>
    </row>
    <row r="2001" spans="1:5" x14ac:dyDescent="0.25">
      <c r="A2001" s="2">
        <v>1978</v>
      </c>
      <c r="B2001" s="2">
        <v>51</v>
      </c>
      <c r="C2001" s="8">
        <v>45969</v>
      </c>
      <c r="D2001" s="2" t="s">
        <v>17</v>
      </c>
      <c r="E2001" s="2" t="s">
        <v>16</v>
      </c>
    </row>
    <row r="2002" spans="1:5" x14ac:dyDescent="0.25">
      <c r="A2002" s="2">
        <v>330</v>
      </c>
      <c r="B2002" s="2">
        <v>8</v>
      </c>
      <c r="C2002" s="8">
        <v>45707</v>
      </c>
      <c r="D2002" s="2" t="s">
        <v>15</v>
      </c>
      <c r="E2002" s="2" t="s">
        <v>13</v>
      </c>
    </row>
    <row r="2003" spans="1:5" x14ac:dyDescent="0.25">
      <c r="A2003" s="2">
        <v>1606</v>
      </c>
      <c r="B2003" s="2">
        <v>42</v>
      </c>
      <c r="C2003" s="8">
        <v>45928</v>
      </c>
      <c r="D2003" s="2" t="s">
        <v>12</v>
      </c>
      <c r="E2003" s="2" t="s">
        <v>18</v>
      </c>
    </row>
    <row r="2004" spans="1:5" x14ac:dyDescent="0.25">
      <c r="A2004" s="2">
        <v>1411</v>
      </c>
      <c r="B2004" s="2">
        <v>36</v>
      </c>
      <c r="C2004" s="8">
        <v>45886</v>
      </c>
      <c r="D2004" s="2" t="s">
        <v>20</v>
      </c>
      <c r="E2004" s="2" t="s">
        <v>18</v>
      </c>
    </row>
    <row r="2005" spans="1:5" x14ac:dyDescent="0.25">
      <c r="A2005" s="2">
        <v>1097</v>
      </c>
      <c r="B2005" s="2">
        <v>28</v>
      </c>
      <c r="C2005" s="8">
        <v>45830</v>
      </c>
      <c r="D2005" s="2" t="s">
        <v>12</v>
      </c>
      <c r="E2005" s="2" t="s">
        <v>18</v>
      </c>
    </row>
    <row r="2006" spans="1:5" x14ac:dyDescent="0.25">
      <c r="A2006" s="2">
        <v>974</v>
      </c>
      <c r="B2006" s="2">
        <v>24</v>
      </c>
      <c r="C2006" s="8">
        <v>45794</v>
      </c>
      <c r="D2006" s="2" t="s">
        <v>12</v>
      </c>
      <c r="E2006" s="2" t="s">
        <v>16</v>
      </c>
    </row>
    <row r="2007" spans="1:5" x14ac:dyDescent="0.25">
      <c r="A2007" s="2">
        <v>987</v>
      </c>
      <c r="B2007" s="2">
        <v>25</v>
      </c>
      <c r="C2007" s="8">
        <v>45787</v>
      </c>
      <c r="D2007" s="2" t="s">
        <v>19</v>
      </c>
      <c r="E2007" s="2" t="s">
        <v>16</v>
      </c>
    </row>
    <row r="2008" spans="1:5" x14ac:dyDescent="0.25">
      <c r="A2008" s="2">
        <v>859</v>
      </c>
      <c r="B2008" s="2">
        <v>21</v>
      </c>
      <c r="C2008" s="8">
        <v>45780</v>
      </c>
      <c r="D2008" s="2" t="s">
        <v>15</v>
      </c>
      <c r="E2008" s="2" t="s">
        <v>16</v>
      </c>
    </row>
    <row r="2009" spans="1:5" x14ac:dyDescent="0.25">
      <c r="A2009" s="2">
        <v>1930</v>
      </c>
      <c r="B2009" s="2">
        <v>49</v>
      </c>
      <c r="C2009" s="8">
        <v>45956</v>
      </c>
      <c r="D2009" s="2" t="s">
        <v>12</v>
      </c>
      <c r="E2009" s="2" t="s">
        <v>16</v>
      </c>
    </row>
    <row r="2010" spans="1:5" x14ac:dyDescent="0.25">
      <c r="A2010" s="2">
        <v>716</v>
      </c>
      <c r="B2010" s="2">
        <v>18</v>
      </c>
      <c r="C2010" s="8">
        <v>45768</v>
      </c>
      <c r="D2010" s="2" t="s">
        <v>19</v>
      </c>
      <c r="E2010" s="2" t="s">
        <v>16</v>
      </c>
    </row>
    <row r="2011" spans="1:5" x14ac:dyDescent="0.25">
      <c r="A2011" s="2">
        <v>407</v>
      </c>
      <c r="B2011" s="2">
        <v>9</v>
      </c>
      <c r="C2011" s="8">
        <v>45715</v>
      </c>
      <c r="D2011" s="2" t="s">
        <v>20</v>
      </c>
      <c r="E2011" s="2" t="s">
        <v>13</v>
      </c>
    </row>
    <row r="2012" spans="1:5" x14ac:dyDescent="0.25">
      <c r="A2012" s="2">
        <v>337</v>
      </c>
      <c r="B2012" s="2">
        <v>8</v>
      </c>
      <c r="C2012" s="8">
        <v>45704</v>
      </c>
      <c r="D2012" s="2" t="s">
        <v>12</v>
      </c>
      <c r="E2012" s="2" t="s">
        <v>18</v>
      </c>
    </row>
    <row r="2013" spans="1:5" x14ac:dyDescent="0.25">
      <c r="A2013" s="2">
        <v>609</v>
      </c>
      <c r="B2013" s="2">
        <v>14</v>
      </c>
      <c r="C2013" s="8" t="s">
        <v>51</v>
      </c>
      <c r="D2013" s="2" t="s">
        <v>15</v>
      </c>
      <c r="E2013" s="2" t="s">
        <v>18</v>
      </c>
    </row>
    <row r="2014" spans="1:5" x14ac:dyDescent="0.25">
      <c r="A2014" s="2">
        <v>1543</v>
      </c>
      <c r="B2014" s="2">
        <v>39</v>
      </c>
      <c r="C2014" s="8">
        <v>45885</v>
      </c>
      <c r="D2014" s="2" t="s">
        <v>17</v>
      </c>
      <c r="E2014" s="2" t="s">
        <v>16</v>
      </c>
    </row>
    <row r="2015" spans="1:5" x14ac:dyDescent="0.25">
      <c r="A2015" s="2">
        <v>1973</v>
      </c>
      <c r="B2015" s="2">
        <v>51</v>
      </c>
      <c r="C2015" s="8">
        <v>45966</v>
      </c>
      <c r="D2015" s="2" t="s">
        <v>12</v>
      </c>
      <c r="E2015" s="2" t="s">
        <v>16</v>
      </c>
    </row>
    <row r="2016" spans="1:5" x14ac:dyDescent="0.25">
      <c r="A2016" s="2">
        <v>701</v>
      </c>
      <c r="B2016" s="2">
        <v>18</v>
      </c>
      <c r="C2016" s="8">
        <v>45756</v>
      </c>
      <c r="D2016" s="2" t="s">
        <v>12</v>
      </c>
      <c r="E2016" s="2" t="s">
        <v>16</v>
      </c>
    </row>
    <row r="2017" spans="1:5" x14ac:dyDescent="0.25">
      <c r="A2017" s="2">
        <v>878</v>
      </c>
      <c r="B2017" s="2">
        <v>22</v>
      </c>
      <c r="C2017" s="8">
        <v>45801</v>
      </c>
      <c r="D2017" s="2" t="s">
        <v>20</v>
      </c>
      <c r="E2017" s="2" t="s">
        <v>18</v>
      </c>
    </row>
    <row r="2018" spans="1:5" x14ac:dyDescent="0.25">
      <c r="A2018" s="2">
        <v>1847</v>
      </c>
      <c r="B2018" s="2">
        <v>48</v>
      </c>
      <c r="C2018" s="8">
        <v>45945</v>
      </c>
      <c r="D2018" s="2" t="s">
        <v>19</v>
      </c>
      <c r="E2018" s="2" t="s">
        <v>18</v>
      </c>
    </row>
    <row r="2019" spans="1:5" x14ac:dyDescent="0.25">
      <c r="A2019" s="2">
        <v>1833</v>
      </c>
      <c r="B2019" s="2">
        <v>47</v>
      </c>
      <c r="C2019" s="8">
        <v>45937</v>
      </c>
      <c r="D2019" s="2" t="s">
        <v>19</v>
      </c>
      <c r="E2019" s="2" t="s">
        <v>16</v>
      </c>
    </row>
    <row r="2020" spans="1:5" x14ac:dyDescent="0.25">
      <c r="A2020" s="2">
        <v>190</v>
      </c>
      <c r="B2020" s="2">
        <v>4</v>
      </c>
      <c r="C2020" s="8">
        <v>45677</v>
      </c>
      <c r="D2020" s="2" t="s">
        <v>19</v>
      </c>
      <c r="E2020" s="2" t="s">
        <v>14</v>
      </c>
    </row>
    <row r="2021" spans="1:5" x14ac:dyDescent="0.25">
      <c r="A2021" s="2">
        <v>111</v>
      </c>
      <c r="B2021" s="2">
        <v>3</v>
      </c>
      <c r="C2021" s="8">
        <v>45671</v>
      </c>
      <c r="D2021" s="2" t="s">
        <v>20</v>
      </c>
      <c r="E2021" s="2" t="s">
        <v>13</v>
      </c>
    </row>
    <row r="2022" spans="1:5" x14ac:dyDescent="0.25">
      <c r="A2022" s="2">
        <v>1701</v>
      </c>
      <c r="B2022" s="2">
        <v>43</v>
      </c>
      <c r="C2022" s="8">
        <v>45913</v>
      </c>
      <c r="D2022" s="2" t="s">
        <v>20</v>
      </c>
      <c r="E2022" s="2" t="s">
        <v>13</v>
      </c>
    </row>
    <row r="2023" spans="1:5" x14ac:dyDescent="0.25">
      <c r="A2023" s="2">
        <v>377</v>
      </c>
      <c r="B2023" s="2">
        <v>8</v>
      </c>
      <c r="C2023" s="8">
        <v>45698</v>
      </c>
      <c r="D2023" s="2" t="s">
        <v>12</v>
      </c>
      <c r="E2023" s="2" t="s">
        <v>13</v>
      </c>
    </row>
    <row r="2024" spans="1:5" x14ac:dyDescent="0.25">
      <c r="A2024" s="2">
        <v>532</v>
      </c>
      <c r="B2024" s="2">
        <v>13</v>
      </c>
      <c r="C2024" s="8">
        <v>45735</v>
      </c>
      <c r="D2024" s="2" t="s">
        <v>12</v>
      </c>
      <c r="E2024" s="2" t="s">
        <v>13</v>
      </c>
    </row>
    <row r="2025" spans="1:5" x14ac:dyDescent="0.25">
      <c r="A2025" s="2">
        <v>1830</v>
      </c>
      <c r="B2025" s="2">
        <v>47</v>
      </c>
      <c r="C2025" s="8">
        <v>45937</v>
      </c>
      <c r="D2025" s="2" t="s">
        <v>15</v>
      </c>
      <c r="E2025" s="2" t="s">
        <v>18</v>
      </c>
    </row>
    <row r="2026" spans="1:5" x14ac:dyDescent="0.25">
      <c r="A2026" s="2">
        <v>1372</v>
      </c>
      <c r="B2026" s="2">
        <v>34</v>
      </c>
      <c r="C2026" s="8">
        <v>45842</v>
      </c>
      <c r="D2026" s="2" t="s">
        <v>15</v>
      </c>
      <c r="E2026" s="2" t="s">
        <v>18</v>
      </c>
    </row>
    <row r="2027" spans="1:5" x14ac:dyDescent="0.25">
      <c r="A2027" s="2">
        <v>439</v>
      </c>
      <c r="B2027" s="2">
        <v>11</v>
      </c>
      <c r="C2027" s="8">
        <v>45729</v>
      </c>
      <c r="D2027" s="2" t="s">
        <v>20</v>
      </c>
      <c r="E2027" s="2" t="s">
        <v>13</v>
      </c>
    </row>
    <row r="2028" spans="1:5" x14ac:dyDescent="0.25">
      <c r="A2028" s="2">
        <v>1075</v>
      </c>
      <c r="B2028" s="2">
        <v>27</v>
      </c>
      <c r="C2028" s="8">
        <v>45810</v>
      </c>
      <c r="D2028" s="2" t="s">
        <v>20</v>
      </c>
      <c r="E2028" s="2" t="s">
        <v>14</v>
      </c>
    </row>
    <row r="2029" spans="1:5" x14ac:dyDescent="0.25">
      <c r="A2029" s="2">
        <v>860</v>
      </c>
      <c r="B2029" s="2">
        <v>21</v>
      </c>
      <c r="C2029" s="8">
        <v>45804</v>
      </c>
      <c r="D2029" s="2" t="s">
        <v>12</v>
      </c>
      <c r="E2029" s="2" t="s">
        <v>18</v>
      </c>
    </row>
    <row r="2030" spans="1:5" x14ac:dyDescent="0.25">
      <c r="A2030" s="2">
        <v>1785</v>
      </c>
      <c r="B2030" s="2">
        <v>46</v>
      </c>
      <c r="C2030" s="8">
        <v>45958</v>
      </c>
      <c r="D2030" s="2" t="s">
        <v>20</v>
      </c>
      <c r="E2030" s="2" t="s">
        <v>16</v>
      </c>
    </row>
    <row r="2031" spans="1:5" x14ac:dyDescent="0.25">
      <c r="A2031" s="2">
        <v>925</v>
      </c>
      <c r="B2031" s="2">
        <v>23</v>
      </c>
      <c r="C2031" s="8">
        <v>45796</v>
      </c>
      <c r="D2031" s="2" t="s">
        <v>12</v>
      </c>
      <c r="E2031" s="2" t="s">
        <v>16</v>
      </c>
    </row>
    <row r="2032" spans="1:5" x14ac:dyDescent="0.25">
      <c r="A2032" s="2">
        <v>1459</v>
      </c>
      <c r="B2032" s="2">
        <v>38</v>
      </c>
      <c r="C2032" s="8">
        <v>45892</v>
      </c>
      <c r="D2032" s="2" t="s">
        <v>19</v>
      </c>
      <c r="E2032" s="2" t="s">
        <v>16</v>
      </c>
    </row>
    <row r="2033" spans="1:5" x14ac:dyDescent="0.25">
      <c r="A2033" s="2">
        <v>1790</v>
      </c>
      <c r="B2033" s="2">
        <v>46</v>
      </c>
      <c r="C2033" s="8">
        <v>45941</v>
      </c>
      <c r="D2033" s="2" t="s">
        <v>12</v>
      </c>
      <c r="E2033" s="2" t="s">
        <v>16</v>
      </c>
    </row>
    <row r="2034" spans="1:5" x14ac:dyDescent="0.25">
      <c r="A2034" s="2">
        <v>611</v>
      </c>
      <c r="B2034" s="2">
        <v>14</v>
      </c>
      <c r="C2034" s="8">
        <v>45723</v>
      </c>
      <c r="D2034" s="2" t="s">
        <v>20</v>
      </c>
      <c r="E2034" s="2" t="s">
        <v>16</v>
      </c>
    </row>
    <row r="2035" spans="1:5" x14ac:dyDescent="0.25">
      <c r="A2035" s="2">
        <v>168</v>
      </c>
      <c r="B2035" s="2">
        <v>3</v>
      </c>
      <c r="C2035" s="8">
        <v>45665</v>
      </c>
      <c r="D2035" s="2" t="s">
        <v>12</v>
      </c>
      <c r="E2035" s="2" t="s">
        <v>18</v>
      </c>
    </row>
    <row r="2036" spans="1:5" x14ac:dyDescent="0.25">
      <c r="A2036" s="2">
        <v>830</v>
      </c>
      <c r="B2036" s="2">
        <v>21</v>
      </c>
      <c r="C2036" s="8">
        <v>45778</v>
      </c>
      <c r="D2036" s="2" t="s">
        <v>20</v>
      </c>
      <c r="E2036" s="2" t="s">
        <v>18</v>
      </c>
    </row>
    <row r="2037" spans="1:5" x14ac:dyDescent="0.25">
      <c r="A2037" s="2">
        <v>561</v>
      </c>
      <c r="B2037" s="2">
        <v>13</v>
      </c>
      <c r="C2037" s="8">
        <v>45737</v>
      </c>
      <c r="D2037" s="2" t="s">
        <v>20</v>
      </c>
      <c r="E2037" s="2" t="s">
        <v>13</v>
      </c>
    </row>
    <row r="2038" spans="1:5" x14ac:dyDescent="0.25">
      <c r="A2038" s="2">
        <v>142</v>
      </c>
      <c r="B2038" s="2">
        <v>3</v>
      </c>
      <c r="C2038" s="8">
        <v>45683</v>
      </c>
      <c r="D2038" s="2" t="s">
        <v>15</v>
      </c>
      <c r="E2038" s="2" t="s">
        <v>16</v>
      </c>
    </row>
    <row r="2039" spans="1:5" x14ac:dyDescent="0.25">
      <c r="A2039" s="2">
        <v>291</v>
      </c>
      <c r="B2039" s="2">
        <v>7</v>
      </c>
      <c r="C2039" s="8">
        <v>45702</v>
      </c>
      <c r="D2039" s="2" t="s">
        <v>12</v>
      </c>
      <c r="E2039" s="2" t="s">
        <v>13</v>
      </c>
    </row>
    <row r="2040" spans="1:5" x14ac:dyDescent="0.25">
      <c r="A2040" s="2">
        <v>172</v>
      </c>
      <c r="B2040" s="2">
        <v>3</v>
      </c>
      <c r="C2040" s="8">
        <v>45667</v>
      </c>
      <c r="D2040" s="2" t="s">
        <v>20</v>
      </c>
      <c r="E2040" s="2" t="s">
        <v>16</v>
      </c>
    </row>
    <row r="2041" spans="1:5" x14ac:dyDescent="0.25">
      <c r="A2041" s="2">
        <v>361</v>
      </c>
      <c r="B2041" s="2">
        <v>8</v>
      </c>
      <c r="C2041" s="8">
        <v>45711</v>
      </c>
      <c r="D2041" s="2" t="s">
        <v>12</v>
      </c>
      <c r="E2041" s="2" t="s">
        <v>18</v>
      </c>
    </row>
    <row r="2042" spans="1:5" x14ac:dyDescent="0.25">
      <c r="A2042" s="2">
        <v>1302</v>
      </c>
      <c r="B2042" s="2">
        <v>33</v>
      </c>
      <c r="C2042" s="8">
        <v>45839</v>
      </c>
      <c r="D2042" s="2" t="s">
        <v>19</v>
      </c>
      <c r="E2042" s="2" t="s">
        <v>16</v>
      </c>
    </row>
    <row r="2043" spans="1:5" x14ac:dyDescent="0.25">
      <c r="A2043" s="2">
        <v>517</v>
      </c>
      <c r="B2043" s="2">
        <v>13</v>
      </c>
      <c r="C2043" s="8">
        <v>45740</v>
      </c>
      <c r="D2043" s="2" t="s">
        <v>19</v>
      </c>
      <c r="E2043" s="2" t="s">
        <v>13</v>
      </c>
    </row>
    <row r="2044" spans="1:5" x14ac:dyDescent="0.25">
      <c r="A2044" s="2">
        <v>1106</v>
      </c>
      <c r="B2044" s="2">
        <v>28</v>
      </c>
      <c r="C2044" s="8">
        <v>45822</v>
      </c>
      <c r="D2044" s="2" t="s">
        <v>20</v>
      </c>
      <c r="E2044" s="2" t="s">
        <v>14</v>
      </c>
    </row>
    <row r="2045" spans="1:5" x14ac:dyDescent="0.25">
      <c r="A2045" s="2">
        <v>1733</v>
      </c>
      <c r="B2045" s="2">
        <v>44</v>
      </c>
      <c r="C2045" s="8">
        <v>45925</v>
      </c>
      <c r="D2045" s="2" t="s">
        <v>12</v>
      </c>
      <c r="E2045" s="2" t="s">
        <v>13</v>
      </c>
    </row>
    <row r="2046" spans="1:5" x14ac:dyDescent="0.25">
      <c r="A2046" s="2">
        <v>94</v>
      </c>
      <c r="B2046" s="2">
        <v>3</v>
      </c>
      <c r="C2046" s="8">
        <v>45680</v>
      </c>
      <c r="D2046" s="2" t="s">
        <v>20</v>
      </c>
      <c r="E2046" s="2" t="s">
        <v>13</v>
      </c>
    </row>
    <row r="2047" spans="1:5" x14ac:dyDescent="0.25">
      <c r="A2047" s="2">
        <v>867</v>
      </c>
      <c r="B2047" s="2">
        <v>22</v>
      </c>
      <c r="C2047" s="8">
        <v>45784</v>
      </c>
      <c r="D2047" s="2" t="s">
        <v>12</v>
      </c>
      <c r="E2047" s="2" t="s">
        <v>16</v>
      </c>
    </row>
    <row r="2048" spans="1:5" x14ac:dyDescent="0.25">
      <c r="A2048" s="2">
        <v>222</v>
      </c>
      <c r="B2048" s="2">
        <v>5</v>
      </c>
      <c r="C2048" s="8">
        <v>45668</v>
      </c>
      <c r="D2048" s="2" t="s">
        <v>20</v>
      </c>
      <c r="E2048" s="2" t="s">
        <v>13</v>
      </c>
    </row>
    <row r="2049" spans="1:5" x14ac:dyDescent="0.25">
      <c r="A2049" s="2">
        <v>2061</v>
      </c>
      <c r="B2049" s="2">
        <v>55</v>
      </c>
      <c r="C2049" s="8">
        <v>45964</v>
      </c>
      <c r="D2049" s="2" t="s">
        <v>15</v>
      </c>
      <c r="E2049" s="2" t="s">
        <v>14</v>
      </c>
    </row>
    <row r="2050" spans="1:5" x14ac:dyDescent="0.25">
      <c r="A2050" s="2">
        <v>1940</v>
      </c>
      <c r="B2050" s="2">
        <v>50</v>
      </c>
      <c r="C2050" s="8">
        <v>45951</v>
      </c>
      <c r="D2050" s="2" t="s">
        <v>12</v>
      </c>
      <c r="E2050" s="2" t="s">
        <v>13</v>
      </c>
    </row>
    <row r="2051" spans="1:5" x14ac:dyDescent="0.25">
      <c r="A2051" s="2">
        <v>1762</v>
      </c>
      <c r="B2051" s="2">
        <v>46</v>
      </c>
      <c r="C2051" s="8">
        <v>45936</v>
      </c>
      <c r="D2051" s="2" t="s">
        <v>20</v>
      </c>
      <c r="E2051" s="2" t="s">
        <v>16</v>
      </c>
    </row>
    <row r="2052" spans="1:5" x14ac:dyDescent="0.25">
      <c r="A2052" s="2">
        <v>1481</v>
      </c>
      <c r="B2052" s="2">
        <v>38</v>
      </c>
      <c r="C2052" s="8">
        <v>45897</v>
      </c>
      <c r="D2052" s="2" t="s">
        <v>15</v>
      </c>
      <c r="E2052" s="2" t="s">
        <v>13</v>
      </c>
    </row>
    <row r="2053" spans="1:5" x14ac:dyDescent="0.25">
      <c r="A2053" s="2">
        <v>256</v>
      </c>
      <c r="B2053" s="2">
        <v>6</v>
      </c>
      <c r="C2053" s="8">
        <v>45694</v>
      </c>
      <c r="D2053" s="2" t="s">
        <v>15</v>
      </c>
      <c r="E2053" s="2" t="s">
        <v>16</v>
      </c>
    </row>
    <row r="2054" spans="1:5" x14ac:dyDescent="0.25">
      <c r="A2054" s="2">
        <v>1558</v>
      </c>
      <c r="B2054" s="2">
        <v>40</v>
      </c>
      <c r="C2054" s="8">
        <v>45870</v>
      </c>
      <c r="D2054" s="2" t="s">
        <v>20</v>
      </c>
      <c r="E2054" s="2" t="s">
        <v>18</v>
      </c>
    </row>
    <row r="2055" spans="1:5" x14ac:dyDescent="0.25">
      <c r="A2055" s="2">
        <v>129</v>
      </c>
      <c r="B2055" s="2">
        <v>3</v>
      </c>
      <c r="C2055" s="8">
        <v>45678</v>
      </c>
      <c r="D2055" s="2" t="s">
        <v>20</v>
      </c>
      <c r="E2055" s="2" t="s">
        <v>18</v>
      </c>
    </row>
    <row r="2056" spans="1:5" x14ac:dyDescent="0.25">
      <c r="A2056" s="2">
        <v>1312</v>
      </c>
      <c r="B2056" s="2">
        <v>33</v>
      </c>
      <c r="C2056" s="8">
        <v>45866</v>
      </c>
      <c r="D2056" s="2" t="s">
        <v>15</v>
      </c>
      <c r="E2056" s="2" t="s">
        <v>13</v>
      </c>
    </row>
    <row r="2057" spans="1:5" x14ac:dyDescent="0.25">
      <c r="A2057" s="2">
        <v>875</v>
      </c>
      <c r="B2057" s="2">
        <v>22</v>
      </c>
      <c r="C2057" s="8">
        <v>45788</v>
      </c>
      <c r="D2057" s="2" t="s">
        <v>20</v>
      </c>
      <c r="E2057" s="2" t="s">
        <v>18</v>
      </c>
    </row>
    <row r="2058" spans="1:5" x14ac:dyDescent="0.25">
      <c r="A2058" s="2">
        <v>597</v>
      </c>
      <c r="B2058" s="2">
        <v>14</v>
      </c>
      <c r="C2058" s="8">
        <v>45735</v>
      </c>
      <c r="D2058" s="2" t="s">
        <v>19</v>
      </c>
      <c r="E2058" s="2" t="s">
        <v>18</v>
      </c>
    </row>
    <row r="2059" spans="1:5" x14ac:dyDescent="0.25">
      <c r="A2059" s="2">
        <v>1925</v>
      </c>
      <c r="B2059" s="2">
        <v>49</v>
      </c>
      <c r="C2059" s="8">
        <v>45952</v>
      </c>
      <c r="D2059" s="2" t="s">
        <v>12</v>
      </c>
      <c r="E2059" s="2" t="s">
        <v>16</v>
      </c>
    </row>
    <row r="2060" spans="1:5" x14ac:dyDescent="0.25">
      <c r="A2060" s="2">
        <v>638</v>
      </c>
      <c r="B2060" s="2">
        <v>16</v>
      </c>
      <c r="C2060" s="8">
        <v>45761</v>
      </c>
      <c r="D2060" s="2" t="s">
        <v>12</v>
      </c>
      <c r="E2060" s="2" t="s">
        <v>18</v>
      </c>
    </row>
    <row r="2061" spans="1:5" x14ac:dyDescent="0.25">
      <c r="A2061" s="2">
        <v>157</v>
      </c>
      <c r="B2061" s="2">
        <v>3</v>
      </c>
      <c r="C2061" s="8">
        <v>45679</v>
      </c>
      <c r="D2061" s="2" t="s">
        <v>15</v>
      </c>
      <c r="E2061" s="2" t="s">
        <v>13</v>
      </c>
    </row>
    <row r="2062" spans="1:5" x14ac:dyDescent="0.25">
      <c r="A2062" s="2">
        <v>1862</v>
      </c>
      <c r="B2062" s="2">
        <v>48</v>
      </c>
      <c r="C2062" s="8">
        <v>45934</v>
      </c>
      <c r="D2062" s="2" t="s">
        <v>12</v>
      </c>
      <c r="E2062" s="2" t="s">
        <v>16</v>
      </c>
    </row>
    <row r="2063" spans="1:5" x14ac:dyDescent="0.25">
      <c r="A2063" s="2">
        <v>1141</v>
      </c>
      <c r="B2063" s="2">
        <v>28</v>
      </c>
      <c r="C2063" s="8" t="s">
        <v>52</v>
      </c>
      <c r="D2063" s="2" t="s">
        <v>12</v>
      </c>
      <c r="E2063" s="2" t="s">
        <v>16</v>
      </c>
    </row>
    <row r="2064" spans="1:5" x14ac:dyDescent="0.25">
      <c r="A2064" s="2">
        <v>469</v>
      </c>
      <c r="B2064" s="2">
        <v>12</v>
      </c>
      <c r="C2064" s="8">
        <v>45739</v>
      </c>
      <c r="D2064" s="2" t="s">
        <v>12</v>
      </c>
      <c r="E2064" s="2" t="s">
        <v>18</v>
      </c>
    </row>
    <row r="2065" spans="1:5" x14ac:dyDescent="0.25">
      <c r="A2065" s="2">
        <v>1951</v>
      </c>
      <c r="B2065" s="2">
        <v>51</v>
      </c>
      <c r="C2065" s="8">
        <v>45980</v>
      </c>
      <c r="D2065" s="2" t="s">
        <v>12</v>
      </c>
      <c r="E2065" s="2" t="s">
        <v>16</v>
      </c>
    </row>
    <row r="2066" spans="1:5" x14ac:dyDescent="0.25">
      <c r="A2066" s="2">
        <v>871</v>
      </c>
      <c r="B2066" s="2">
        <v>22</v>
      </c>
      <c r="C2066" s="8">
        <v>45798</v>
      </c>
      <c r="D2066" s="2" t="s">
        <v>20</v>
      </c>
      <c r="E2066" s="2" t="s">
        <v>16</v>
      </c>
    </row>
    <row r="2067" spans="1:5" x14ac:dyDescent="0.25">
      <c r="A2067" s="2">
        <v>1992</v>
      </c>
      <c r="B2067" s="2">
        <v>52</v>
      </c>
      <c r="C2067" s="8">
        <v>45975</v>
      </c>
      <c r="D2067" s="2" t="s">
        <v>12</v>
      </c>
      <c r="E2067" s="2" t="s">
        <v>18</v>
      </c>
    </row>
    <row r="2068" spans="1:5" x14ac:dyDescent="0.25">
      <c r="A2068" s="2">
        <v>1403</v>
      </c>
      <c r="B2068" s="2">
        <v>36</v>
      </c>
      <c r="C2068" s="8">
        <v>45880</v>
      </c>
      <c r="D2068" s="2" t="s">
        <v>12</v>
      </c>
      <c r="E2068" s="2" t="s">
        <v>18</v>
      </c>
    </row>
    <row r="2069" spans="1:5" x14ac:dyDescent="0.25">
      <c r="A2069" s="2">
        <v>1300</v>
      </c>
      <c r="B2069" s="2">
        <v>33</v>
      </c>
      <c r="C2069" s="8">
        <v>45859</v>
      </c>
      <c r="D2069" s="2" t="s">
        <v>12</v>
      </c>
      <c r="E2069" s="2" t="s">
        <v>16</v>
      </c>
    </row>
    <row r="2070" spans="1:5" x14ac:dyDescent="0.25">
      <c r="A2070" s="2">
        <v>265</v>
      </c>
      <c r="B2070" s="2">
        <v>7</v>
      </c>
      <c r="C2070" s="8">
        <v>45705</v>
      </c>
      <c r="D2070" s="2" t="s">
        <v>12</v>
      </c>
      <c r="E2070" s="2" t="s">
        <v>13</v>
      </c>
    </row>
    <row r="2071" spans="1:5" x14ac:dyDescent="0.25">
      <c r="A2071" s="2">
        <v>1347</v>
      </c>
      <c r="B2071" s="2">
        <v>33</v>
      </c>
      <c r="C2071" s="8">
        <v>45853</v>
      </c>
      <c r="D2071" s="2" t="s">
        <v>12</v>
      </c>
      <c r="E2071" s="2" t="s">
        <v>16</v>
      </c>
    </row>
    <row r="2072" spans="1:5" x14ac:dyDescent="0.25">
      <c r="A2072" s="2">
        <v>1645</v>
      </c>
      <c r="B2072" s="2">
        <v>43</v>
      </c>
      <c r="C2072" s="8">
        <v>45914</v>
      </c>
      <c r="D2072" s="2" t="s">
        <v>19</v>
      </c>
      <c r="E2072" s="2" t="s">
        <v>18</v>
      </c>
    </row>
    <row r="2073" spans="1:5" x14ac:dyDescent="0.25">
      <c r="A2073" s="2">
        <v>818</v>
      </c>
      <c r="B2073" s="2">
        <v>20</v>
      </c>
      <c r="C2073" s="8">
        <v>45753</v>
      </c>
      <c r="D2073" s="2" t="s">
        <v>12</v>
      </c>
      <c r="E2073" s="2" t="s">
        <v>16</v>
      </c>
    </row>
    <row r="2074" spans="1:5" x14ac:dyDescent="0.25">
      <c r="A2074" s="2">
        <v>1775</v>
      </c>
      <c r="B2074" s="2">
        <v>46</v>
      </c>
      <c r="C2074" s="8">
        <v>45952</v>
      </c>
      <c r="D2074" s="2" t="s">
        <v>20</v>
      </c>
      <c r="E2074" s="2" t="s">
        <v>18</v>
      </c>
    </row>
    <row r="2075" spans="1:5" x14ac:dyDescent="0.25">
      <c r="A2075" s="2">
        <v>1626</v>
      </c>
      <c r="B2075" s="2">
        <v>42</v>
      </c>
      <c r="C2075" s="8">
        <v>45921</v>
      </c>
      <c r="D2075" s="2" t="s">
        <v>20</v>
      </c>
      <c r="E2075" s="2" t="s">
        <v>16</v>
      </c>
    </row>
    <row r="2076" spans="1:5" x14ac:dyDescent="0.25">
      <c r="A2076" s="2">
        <v>444</v>
      </c>
      <c r="B2076" s="2">
        <v>11</v>
      </c>
      <c r="C2076" s="8">
        <v>45729</v>
      </c>
      <c r="D2076" s="2" t="s">
        <v>12</v>
      </c>
      <c r="E2076" s="2" t="s">
        <v>14</v>
      </c>
    </row>
    <row r="2077" spans="1:5" x14ac:dyDescent="0.25">
      <c r="A2077" s="2">
        <v>739</v>
      </c>
      <c r="B2077" s="2">
        <v>18</v>
      </c>
      <c r="C2077" s="8">
        <v>45775</v>
      </c>
      <c r="D2077" s="2" t="s">
        <v>12</v>
      </c>
      <c r="E2077" s="2" t="s">
        <v>18</v>
      </c>
    </row>
    <row r="2078" spans="1:5" x14ac:dyDescent="0.25">
      <c r="A2078" s="2">
        <v>352</v>
      </c>
      <c r="B2078" s="2">
        <v>8</v>
      </c>
      <c r="C2078" s="8">
        <v>45692</v>
      </c>
      <c r="D2078" s="2" t="s">
        <v>19</v>
      </c>
      <c r="E2078" s="2" t="s">
        <v>13</v>
      </c>
    </row>
    <row r="2079" spans="1:5" x14ac:dyDescent="0.25">
      <c r="A2079" s="2">
        <v>447</v>
      </c>
      <c r="B2079" s="2">
        <v>11</v>
      </c>
      <c r="C2079" s="8">
        <v>45740</v>
      </c>
      <c r="D2079" s="2" t="s">
        <v>12</v>
      </c>
      <c r="E2079" s="2" t="s">
        <v>16</v>
      </c>
    </row>
    <row r="2080" spans="1:5" x14ac:dyDescent="0.25">
      <c r="A2080" s="2">
        <v>1905</v>
      </c>
      <c r="B2080" s="2">
        <v>48</v>
      </c>
      <c r="C2080" s="8">
        <v>45946</v>
      </c>
      <c r="D2080" s="2" t="s">
        <v>20</v>
      </c>
      <c r="E2080" s="2" t="s">
        <v>18</v>
      </c>
    </row>
    <row r="2081" spans="1:5" x14ac:dyDescent="0.25">
      <c r="A2081" s="2">
        <v>1919</v>
      </c>
      <c r="B2081" s="2">
        <v>49</v>
      </c>
      <c r="C2081" s="8">
        <v>45971</v>
      </c>
      <c r="D2081" s="2" t="s">
        <v>12</v>
      </c>
      <c r="E2081" s="2" t="s">
        <v>14</v>
      </c>
    </row>
    <row r="2082" spans="1:5" x14ac:dyDescent="0.25">
      <c r="A2082" s="2">
        <v>1909</v>
      </c>
      <c r="B2082" s="2">
        <v>48</v>
      </c>
      <c r="C2082" s="8">
        <v>45944</v>
      </c>
      <c r="D2082" s="2" t="s">
        <v>17</v>
      </c>
      <c r="E2082" s="2" t="s">
        <v>14</v>
      </c>
    </row>
    <row r="2083" spans="1:5" x14ac:dyDescent="0.25">
      <c r="A2083" s="2">
        <v>1430</v>
      </c>
      <c r="B2083" s="2">
        <v>37</v>
      </c>
      <c r="C2083" s="8">
        <v>45877</v>
      </c>
      <c r="D2083" s="2" t="s">
        <v>20</v>
      </c>
      <c r="E2083" s="2" t="s">
        <v>16</v>
      </c>
    </row>
    <row r="2084" spans="1:5" x14ac:dyDescent="0.25">
      <c r="A2084" s="2">
        <v>383</v>
      </c>
      <c r="B2084" s="2">
        <v>9</v>
      </c>
      <c r="C2084" s="8">
        <v>45705</v>
      </c>
      <c r="D2084" s="2" t="s">
        <v>20</v>
      </c>
      <c r="E2084" s="2" t="s">
        <v>13</v>
      </c>
    </row>
    <row r="2085" spans="1:5" x14ac:dyDescent="0.25">
      <c r="A2085" s="2">
        <v>1894</v>
      </c>
      <c r="B2085" s="2">
        <v>48</v>
      </c>
      <c r="C2085" s="8">
        <v>45935</v>
      </c>
      <c r="D2085" s="2" t="s">
        <v>17</v>
      </c>
      <c r="E2085" s="2" t="s">
        <v>13</v>
      </c>
    </row>
    <row r="2086" spans="1:5" x14ac:dyDescent="0.25">
      <c r="A2086" s="2">
        <v>1591</v>
      </c>
      <c r="B2086" s="2">
        <v>42</v>
      </c>
      <c r="C2086" s="8" t="s">
        <v>53</v>
      </c>
      <c r="D2086" s="2" t="s">
        <v>19</v>
      </c>
      <c r="E2086" s="2" t="s">
        <v>13</v>
      </c>
    </row>
    <row r="2087" spans="1:5" x14ac:dyDescent="0.25">
      <c r="A2087" s="2">
        <v>914</v>
      </c>
      <c r="B2087" s="2">
        <v>23</v>
      </c>
      <c r="C2087" s="8">
        <v>45805</v>
      </c>
      <c r="D2087" s="2" t="s">
        <v>12</v>
      </c>
      <c r="E2087" s="2" t="s">
        <v>13</v>
      </c>
    </row>
    <row r="2088" spans="1:5" x14ac:dyDescent="0.25">
      <c r="A2088" s="2">
        <v>299</v>
      </c>
      <c r="B2088" s="2">
        <v>7</v>
      </c>
      <c r="C2088" s="8">
        <v>45704</v>
      </c>
      <c r="D2088" s="2" t="s">
        <v>12</v>
      </c>
      <c r="E2088" s="2" t="s">
        <v>18</v>
      </c>
    </row>
    <row r="2089" spans="1:5" x14ac:dyDescent="0.25">
      <c r="A2089" s="2">
        <v>1636</v>
      </c>
      <c r="B2089" s="2">
        <v>43</v>
      </c>
      <c r="C2089" s="8">
        <v>45921</v>
      </c>
      <c r="D2089" s="2" t="s">
        <v>12</v>
      </c>
      <c r="E2089" s="2" t="s">
        <v>18</v>
      </c>
    </row>
    <row r="2090" spans="1:5" x14ac:dyDescent="0.25">
      <c r="A2090" s="2">
        <v>649</v>
      </c>
      <c r="B2090" s="2">
        <v>17</v>
      </c>
      <c r="C2090" s="8">
        <v>45755</v>
      </c>
      <c r="D2090" s="2" t="s">
        <v>12</v>
      </c>
      <c r="E2090" s="2" t="s">
        <v>16</v>
      </c>
    </row>
    <row r="2091" spans="1:5" x14ac:dyDescent="0.25">
      <c r="A2091" s="2">
        <v>1540</v>
      </c>
      <c r="B2091" s="2">
        <v>39</v>
      </c>
      <c r="C2091" s="8">
        <v>45874</v>
      </c>
      <c r="D2091" s="2" t="s">
        <v>15</v>
      </c>
      <c r="E2091" s="2" t="s">
        <v>16</v>
      </c>
    </row>
    <row r="2092" spans="1:5" x14ac:dyDescent="0.25">
      <c r="A2092" s="2">
        <v>1191</v>
      </c>
      <c r="B2092" s="2">
        <v>30</v>
      </c>
      <c r="C2092" s="8">
        <v>45833</v>
      </c>
      <c r="D2092" s="2" t="s">
        <v>12</v>
      </c>
      <c r="E2092" s="2" t="s">
        <v>18</v>
      </c>
    </row>
    <row r="2093" spans="1:5" x14ac:dyDescent="0.25">
      <c r="A2093" s="2">
        <v>432</v>
      </c>
      <c r="B2093" s="2">
        <v>10</v>
      </c>
      <c r="C2093" s="8">
        <v>45706</v>
      </c>
      <c r="D2093" s="2" t="s">
        <v>15</v>
      </c>
      <c r="E2093" s="2" t="s">
        <v>14</v>
      </c>
    </row>
    <row r="2094" spans="1:5" x14ac:dyDescent="0.25">
      <c r="A2094" s="2">
        <v>634</v>
      </c>
      <c r="B2094" s="2">
        <v>16</v>
      </c>
      <c r="C2094" s="8">
        <v>45766</v>
      </c>
      <c r="D2094" s="2" t="s">
        <v>12</v>
      </c>
      <c r="E2094" s="2" t="s">
        <v>16</v>
      </c>
    </row>
    <row r="2095" spans="1:5" x14ac:dyDescent="0.25">
      <c r="A2095" s="2">
        <v>33</v>
      </c>
      <c r="B2095" s="2">
        <v>1</v>
      </c>
      <c r="C2095" s="8">
        <v>45664</v>
      </c>
      <c r="D2095" s="2" t="s">
        <v>19</v>
      </c>
      <c r="E2095" s="2" t="s">
        <v>16</v>
      </c>
    </row>
    <row r="2096" spans="1:5" x14ac:dyDescent="0.25">
      <c r="A2096" s="2">
        <v>1003</v>
      </c>
      <c r="B2096" s="2">
        <v>26</v>
      </c>
      <c r="C2096" s="8" t="s">
        <v>45</v>
      </c>
      <c r="D2096" s="2" t="s">
        <v>19</v>
      </c>
      <c r="E2096" s="2" t="s">
        <v>13</v>
      </c>
    </row>
    <row r="2097" spans="1:5" x14ac:dyDescent="0.25">
      <c r="A2097" s="2">
        <v>234</v>
      </c>
      <c r="B2097" s="2">
        <v>6</v>
      </c>
      <c r="C2097" s="8">
        <v>45707</v>
      </c>
      <c r="D2097" s="2" t="s">
        <v>12</v>
      </c>
      <c r="E2097" s="2" t="s">
        <v>16</v>
      </c>
    </row>
    <row r="2098" spans="1:5" x14ac:dyDescent="0.25">
      <c r="A2098" s="2">
        <v>175</v>
      </c>
      <c r="B2098" s="2">
        <v>3</v>
      </c>
      <c r="C2098" s="8">
        <v>45673</v>
      </c>
      <c r="D2098" s="2" t="s">
        <v>20</v>
      </c>
      <c r="E2098" s="2" t="s">
        <v>14</v>
      </c>
    </row>
    <row r="2099" spans="1:5" x14ac:dyDescent="0.25">
      <c r="A2099" s="2">
        <v>1077</v>
      </c>
      <c r="B2099" s="2">
        <v>27</v>
      </c>
      <c r="C2099" s="8">
        <v>45810</v>
      </c>
      <c r="D2099" s="2" t="s">
        <v>12</v>
      </c>
      <c r="E2099" s="2" t="s">
        <v>13</v>
      </c>
    </row>
    <row r="2100" spans="1:5" x14ac:dyDescent="0.25">
      <c r="A2100" s="2">
        <v>1844</v>
      </c>
      <c r="B2100" s="2">
        <v>48</v>
      </c>
      <c r="C2100" s="8">
        <v>45955</v>
      </c>
      <c r="D2100" s="2" t="s">
        <v>12</v>
      </c>
      <c r="E2100" s="2" t="s">
        <v>13</v>
      </c>
    </row>
    <row r="2101" spans="1:5" x14ac:dyDescent="0.25">
      <c r="A2101" s="2">
        <v>2073</v>
      </c>
      <c r="B2101" s="2">
        <v>56</v>
      </c>
      <c r="C2101" s="8">
        <v>46013</v>
      </c>
      <c r="D2101" s="2" t="s">
        <v>19</v>
      </c>
      <c r="E2101" s="2" t="s">
        <v>18</v>
      </c>
    </row>
    <row r="2102" spans="1:5" x14ac:dyDescent="0.25">
      <c r="A2102" s="2">
        <v>1693</v>
      </c>
      <c r="B2102" s="2">
        <v>43</v>
      </c>
      <c r="C2102" s="8">
        <v>45927</v>
      </c>
      <c r="D2102" s="2" t="s">
        <v>12</v>
      </c>
      <c r="E2102" s="2" t="s">
        <v>16</v>
      </c>
    </row>
    <row r="2103" spans="1:5" x14ac:dyDescent="0.25">
      <c r="A2103" s="2">
        <v>342</v>
      </c>
      <c r="B2103" s="2">
        <v>8</v>
      </c>
      <c r="C2103" s="8">
        <v>45705</v>
      </c>
      <c r="D2103" s="2" t="s">
        <v>20</v>
      </c>
      <c r="E2103" s="2" t="s">
        <v>16</v>
      </c>
    </row>
    <row r="2104" spans="1:5" x14ac:dyDescent="0.25">
      <c r="A2104" s="2">
        <v>1531</v>
      </c>
      <c r="B2104" s="2">
        <v>39</v>
      </c>
      <c r="C2104" s="8">
        <v>45886</v>
      </c>
      <c r="D2104" s="2" t="s">
        <v>20</v>
      </c>
      <c r="E2104" s="2" t="s">
        <v>18</v>
      </c>
    </row>
    <row r="2105" spans="1:5" x14ac:dyDescent="0.25">
      <c r="A2105" s="2">
        <v>2100</v>
      </c>
      <c r="B2105" s="2">
        <v>57</v>
      </c>
      <c r="C2105" s="8">
        <v>46010</v>
      </c>
      <c r="D2105" s="2" t="s">
        <v>12</v>
      </c>
      <c r="E2105" s="2" t="s">
        <v>18</v>
      </c>
    </row>
    <row r="2106" spans="1:5" x14ac:dyDescent="0.25">
      <c r="A2106" s="2">
        <v>1503</v>
      </c>
      <c r="B2106" s="2">
        <v>38</v>
      </c>
      <c r="C2106" s="8">
        <v>45885</v>
      </c>
      <c r="D2106" s="2" t="s">
        <v>20</v>
      </c>
      <c r="E2106" s="2" t="s">
        <v>16</v>
      </c>
    </row>
    <row r="2107" spans="1:5" x14ac:dyDescent="0.25">
      <c r="A2107" s="2">
        <v>1806</v>
      </c>
      <c r="B2107" s="2">
        <v>47</v>
      </c>
      <c r="C2107" s="8">
        <v>45945</v>
      </c>
      <c r="D2107" s="2" t="s">
        <v>12</v>
      </c>
      <c r="E2107" s="2" t="s">
        <v>16</v>
      </c>
    </row>
    <row r="2108" spans="1:5" x14ac:dyDescent="0.25">
      <c r="A2108" s="2">
        <v>529</v>
      </c>
      <c r="B2108" s="2">
        <v>13</v>
      </c>
      <c r="C2108" s="8">
        <v>45743</v>
      </c>
      <c r="D2108" s="2" t="s">
        <v>19</v>
      </c>
      <c r="E2108" s="2" t="s">
        <v>16</v>
      </c>
    </row>
    <row r="2109" spans="1:5" x14ac:dyDescent="0.25">
      <c r="A2109" s="2">
        <v>1676</v>
      </c>
      <c r="B2109" s="2">
        <v>43</v>
      </c>
      <c r="C2109" s="8">
        <v>45914</v>
      </c>
      <c r="D2109" s="2" t="s">
        <v>12</v>
      </c>
      <c r="E2109" s="2" t="s">
        <v>14</v>
      </c>
    </row>
    <row r="2110" spans="1:5" x14ac:dyDescent="0.25">
      <c r="A2110" s="2">
        <v>1643</v>
      </c>
      <c r="B2110" s="2">
        <v>43</v>
      </c>
      <c r="C2110" s="8">
        <v>45928</v>
      </c>
      <c r="D2110" s="2" t="s">
        <v>12</v>
      </c>
      <c r="E2110" s="2" t="s">
        <v>16</v>
      </c>
    </row>
    <row r="2111" spans="1:5" x14ac:dyDescent="0.25">
      <c r="A2111" s="2">
        <v>1175</v>
      </c>
      <c r="B2111" s="2">
        <v>30</v>
      </c>
      <c r="C2111" s="8">
        <v>45836</v>
      </c>
      <c r="D2111" s="2" t="s">
        <v>12</v>
      </c>
      <c r="E2111" s="2" t="s">
        <v>16</v>
      </c>
    </row>
    <row r="2112" spans="1:5" x14ac:dyDescent="0.25">
      <c r="A2112" s="2">
        <v>2131</v>
      </c>
      <c r="B2112" s="2">
        <v>59</v>
      </c>
      <c r="C2112" s="8">
        <v>45993</v>
      </c>
      <c r="D2112" s="2" t="s">
        <v>19</v>
      </c>
      <c r="E2112" s="2" t="s">
        <v>16</v>
      </c>
    </row>
    <row r="2113" spans="1:5" x14ac:dyDescent="0.25">
      <c r="A2113" s="2">
        <v>163</v>
      </c>
      <c r="B2113" s="2">
        <v>3</v>
      </c>
      <c r="C2113" s="8">
        <v>45665</v>
      </c>
      <c r="D2113" s="2" t="s">
        <v>20</v>
      </c>
      <c r="E2113" s="2" t="s">
        <v>16</v>
      </c>
    </row>
    <row r="2114" spans="1:5" x14ac:dyDescent="0.25">
      <c r="A2114" s="2">
        <v>2000</v>
      </c>
      <c r="B2114" s="2">
        <v>53</v>
      </c>
      <c r="C2114" s="8">
        <v>45978</v>
      </c>
      <c r="D2114" s="2" t="s">
        <v>19</v>
      </c>
      <c r="E2114" s="2" t="s">
        <v>18</v>
      </c>
    </row>
    <row r="2115" spans="1:5" x14ac:dyDescent="0.25">
      <c r="A2115" s="2">
        <v>508</v>
      </c>
      <c r="B2115" s="2">
        <v>12</v>
      </c>
      <c r="C2115" s="8">
        <v>45718</v>
      </c>
      <c r="D2115" s="2" t="s">
        <v>12</v>
      </c>
      <c r="E2115" s="2" t="s">
        <v>16</v>
      </c>
    </row>
    <row r="2116" spans="1:5" x14ac:dyDescent="0.25">
      <c r="A2116" s="2">
        <v>576</v>
      </c>
      <c r="B2116" s="2">
        <v>13</v>
      </c>
      <c r="C2116" s="8">
        <v>45729</v>
      </c>
      <c r="D2116" s="2" t="s">
        <v>17</v>
      </c>
      <c r="E2116" s="2" t="s">
        <v>16</v>
      </c>
    </row>
    <row r="2117" spans="1:5" x14ac:dyDescent="0.25">
      <c r="A2117" s="2">
        <v>1811</v>
      </c>
      <c r="B2117" s="2">
        <v>47</v>
      </c>
      <c r="C2117" s="8">
        <v>45952</v>
      </c>
      <c r="D2117" s="2" t="s">
        <v>12</v>
      </c>
      <c r="E2117" s="2" t="s">
        <v>14</v>
      </c>
    </row>
    <row r="2118" spans="1:5" x14ac:dyDescent="0.25">
      <c r="A2118" s="2">
        <v>1049</v>
      </c>
      <c r="B2118" s="2">
        <v>27</v>
      </c>
      <c r="C2118" s="8">
        <v>45820</v>
      </c>
      <c r="D2118" s="2" t="s">
        <v>20</v>
      </c>
      <c r="E2118" s="2" t="s">
        <v>14</v>
      </c>
    </row>
    <row r="2119" spans="1:5" x14ac:dyDescent="0.25">
      <c r="A2119" s="2">
        <v>1939</v>
      </c>
      <c r="B2119" s="2">
        <v>50</v>
      </c>
      <c r="C2119" s="8">
        <v>45935</v>
      </c>
      <c r="D2119" s="2" t="s">
        <v>12</v>
      </c>
      <c r="E2119" s="2" t="s">
        <v>13</v>
      </c>
    </row>
    <row r="2120" spans="1:5" x14ac:dyDescent="0.25">
      <c r="A2120" s="2">
        <v>1057</v>
      </c>
      <c r="B2120" s="2">
        <v>27</v>
      </c>
      <c r="C2120" s="8">
        <v>45814</v>
      </c>
      <c r="D2120" s="2" t="s">
        <v>15</v>
      </c>
      <c r="E2120" s="2" t="s">
        <v>16</v>
      </c>
    </row>
    <row r="2121" spans="1:5" x14ac:dyDescent="0.25">
      <c r="A2121" s="2">
        <v>1888</v>
      </c>
      <c r="B2121" s="2">
        <v>48</v>
      </c>
      <c r="C2121" s="8">
        <v>45950</v>
      </c>
      <c r="D2121" s="2" t="s">
        <v>15</v>
      </c>
      <c r="E2121" s="2" t="s">
        <v>16</v>
      </c>
    </row>
    <row r="2122" spans="1:5" x14ac:dyDescent="0.25">
      <c r="A2122" s="2">
        <v>734</v>
      </c>
      <c r="B2122" s="2">
        <v>18</v>
      </c>
      <c r="C2122" s="8">
        <v>45769</v>
      </c>
      <c r="D2122" s="2" t="s">
        <v>12</v>
      </c>
      <c r="E2122" s="2" t="s">
        <v>18</v>
      </c>
    </row>
    <row r="2123" spans="1:5" x14ac:dyDescent="0.25">
      <c r="A2123" s="2">
        <v>292</v>
      </c>
      <c r="B2123" s="2">
        <v>7</v>
      </c>
      <c r="C2123" s="8">
        <v>45700</v>
      </c>
      <c r="D2123" s="2" t="s">
        <v>12</v>
      </c>
      <c r="E2123" s="2" t="s">
        <v>13</v>
      </c>
    </row>
    <row r="2124" spans="1:5" x14ac:dyDescent="0.25">
      <c r="A2124" s="2">
        <v>366</v>
      </c>
      <c r="B2124" s="2">
        <v>8</v>
      </c>
      <c r="C2124" s="8">
        <v>45695</v>
      </c>
      <c r="D2124" s="2" t="s">
        <v>20</v>
      </c>
      <c r="E2124" s="2" t="s">
        <v>13</v>
      </c>
    </row>
    <row r="2125" spans="1:5" x14ac:dyDescent="0.25">
      <c r="A2125" s="2">
        <v>1448</v>
      </c>
      <c r="B2125" s="2">
        <v>38</v>
      </c>
      <c r="C2125" s="8">
        <v>45871</v>
      </c>
      <c r="D2125" s="2" t="s">
        <v>12</v>
      </c>
      <c r="E2125" s="2" t="s">
        <v>13</v>
      </c>
    </row>
    <row r="2126" spans="1:5" x14ac:dyDescent="0.25">
      <c r="A2126" s="2">
        <v>1489</v>
      </c>
      <c r="B2126" s="2">
        <v>38</v>
      </c>
      <c r="C2126" s="8">
        <v>45876</v>
      </c>
      <c r="D2126" s="2" t="s">
        <v>20</v>
      </c>
      <c r="E2126" s="2" t="s">
        <v>14</v>
      </c>
    </row>
    <row r="2127" spans="1:5" x14ac:dyDescent="0.25">
      <c r="A2127" s="2">
        <v>1148</v>
      </c>
      <c r="B2127" s="2">
        <v>28</v>
      </c>
      <c r="C2127" s="8">
        <v>45833</v>
      </c>
      <c r="D2127" s="2" t="s">
        <v>12</v>
      </c>
      <c r="E2127" s="2" t="s">
        <v>16</v>
      </c>
    </row>
    <row r="2128" spans="1:5" x14ac:dyDescent="0.25">
      <c r="A2128" s="2">
        <v>280</v>
      </c>
      <c r="B2128" s="2">
        <v>7</v>
      </c>
      <c r="C2128" s="8">
        <v>45691</v>
      </c>
      <c r="D2128" s="2" t="s">
        <v>20</v>
      </c>
      <c r="E2128" s="2" t="s">
        <v>14</v>
      </c>
    </row>
    <row r="2129" spans="1:5" x14ac:dyDescent="0.25">
      <c r="A2129" s="2">
        <v>662</v>
      </c>
      <c r="B2129" s="2">
        <v>17</v>
      </c>
      <c r="C2129" s="8">
        <v>45760</v>
      </c>
      <c r="D2129" s="2" t="s">
        <v>12</v>
      </c>
      <c r="E2129" s="2" t="s">
        <v>18</v>
      </c>
    </row>
    <row r="2130" spans="1:5" x14ac:dyDescent="0.25">
      <c r="A2130" s="2">
        <v>1211</v>
      </c>
      <c r="B2130" s="2">
        <v>31</v>
      </c>
      <c r="C2130" s="8">
        <v>45843</v>
      </c>
      <c r="D2130" s="2" t="s">
        <v>12</v>
      </c>
      <c r="E2130" s="2" t="s">
        <v>18</v>
      </c>
    </row>
    <row r="2131" spans="1:5" x14ac:dyDescent="0.25">
      <c r="A2131" s="2">
        <v>696</v>
      </c>
      <c r="B2131" s="2">
        <v>18</v>
      </c>
      <c r="C2131" s="8">
        <v>45750</v>
      </c>
      <c r="D2131" s="2" t="s">
        <v>12</v>
      </c>
      <c r="E2131" s="2" t="s">
        <v>13</v>
      </c>
    </row>
    <row r="2132" spans="1:5" x14ac:dyDescent="0.25">
      <c r="A2132" s="2">
        <v>1285</v>
      </c>
      <c r="B2132" s="2">
        <v>33</v>
      </c>
      <c r="C2132" s="8">
        <v>45856</v>
      </c>
      <c r="D2132" s="2" t="s">
        <v>12</v>
      </c>
      <c r="E2132" s="2" t="s">
        <v>13</v>
      </c>
    </row>
    <row r="2133" spans="1:5" x14ac:dyDescent="0.25">
      <c r="A2133" s="2">
        <v>1863</v>
      </c>
      <c r="B2133" s="2">
        <v>48</v>
      </c>
      <c r="C2133" s="8">
        <v>45944</v>
      </c>
      <c r="D2133" s="2" t="s">
        <v>12</v>
      </c>
      <c r="E2133" s="2" t="s">
        <v>14</v>
      </c>
    </row>
    <row r="2134" spans="1:5" x14ac:dyDescent="0.25">
      <c r="A2134" s="2">
        <v>386</v>
      </c>
      <c r="B2134" s="2">
        <v>9</v>
      </c>
      <c r="C2134" s="8">
        <v>45699</v>
      </c>
      <c r="D2134" s="2" t="s">
        <v>19</v>
      </c>
      <c r="E2134" s="2" t="s">
        <v>16</v>
      </c>
    </row>
    <row r="2135" spans="1:5" x14ac:dyDescent="0.25">
      <c r="A2135" s="2">
        <v>2044</v>
      </c>
      <c r="B2135" s="2">
        <v>54</v>
      </c>
      <c r="C2135" s="8">
        <v>45963</v>
      </c>
      <c r="D2135" s="2" t="s">
        <v>20</v>
      </c>
      <c r="E2135" s="2" t="s">
        <v>13</v>
      </c>
    </row>
    <row r="2136" spans="1:5" x14ac:dyDescent="0.25">
      <c r="A2136" s="2">
        <v>358</v>
      </c>
      <c r="B2136" s="2">
        <v>8</v>
      </c>
      <c r="C2136" s="8">
        <v>45715</v>
      </c>
      <c r="D2136" s="2" t="s">
        <v>12</v>
      </c>
      <c r="E2136" s="2" t="s">
        <v>16</v>
      </c>
    </row>
    <row r="2137" spans="1:5" x14ac:dyDescent="0.25">
      <c r="A2137" s="2">
        <v>1268</v>
      </c>
      <c r="B2137" s="2">
        <v>33</v>
      </c>
      <c r="C2137" s="8">
        <v>45847</v>
      </c>
      <c r="D2137" s="2" t="s">
        <v>19</v>
      </c>
      <c r="E2137" s="2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2" sqref="B2:B6"/>
    </sheetView>
  </sheetViews>
  <sheetFormatPr defaultRowHeight="15" x14ac:dyDescent="0.25"/>
  <cols>
    <col min="1" max="1" width="14.42578125" bestFit="1" customWidth="1"/>
    <col min="2" max="2" width="17.85546875" bestFit="1" customWidth="1"/>
  </cols>
  <sheetData>
    <row r="1" spans="1:2" x14ac:dyDescent="0.25">
      <c r="A1" s="4" t="s">
        <v>54</v>
      </c>
      <c r="B1" s="4" t="s">
        <v>55</v>
      </c>
    </row>
    <row r="2" spans="1:2" x14ac:dyDescent="0.25">
      <c r="A2" s="2">
        <v>1</v>
      </c>
      <c r="B2" s="2" t="s">
        <v>56</v>
      </c>
    </row>
    <row r="3" spans="1:2" x14ac:dyDescent="0.25">
      <c r="A3" s="2">
        <v>2</v>
      </c>
      <c r="B3" s="2" t="s">
        <v>57</v>
      </c>
    </row>
    <row r="4" spans="1:2" x14ac:dyDescent="0.25">
      <c r="A4" s="2">
        <v>3</v>
      </c>
      <c r="B4" s="2" t="s">
        <v>58</v>
      </c>
    </row>
    <row r="5" spans="1:2" x14ac:dyDescent="0.25">
      <c r="A5" s="2">
        <v>4</v>
      </c>
      <c r="B5" s="2" t="s">
        <v>59</v>
      </c>
    </row>
    <row r="6" spans="1:2" x14ac:dyDescent="0.25">
      <c r="A6" s="2">
        <v>5</v>
      </c>
      <c r="B6" s="2" t="s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I13" sqref="I13"/>
    </sheetView>
  </sheetViews>
  <sheetFormatPr defaultRowHeight="15" x14ac:dyDescent="0.25"/>
  <cols>
    <col min="1" max="1" width="13.140625" customWidth="1"/>
    <col min="2" max="2" width="18.5703125" bestFit="1" customWidth="1"/>
    <col min="4" max="4" width="17.28515625" bestFit="1" customWidth="1"/>
    <col min="5" max="5" width="11.42578125" bestFit="1" customWidth="1"/>
    <col min="6" max="6" width="10.85546875" bestFit="1" customWidth="1"/>
    <col min="7" max="7" width="11.7109375" bestFit="1" customWidth="1"/>
    <col min="9" max="9" width="18.28515625" bestFit="1" customWidth="1"/>
  </cols>
  <sheetData>
    <row r="1" spans="1:7" x14ac:dyDescent="0.25">
      <c r="A1" s="15" t="s">
        <v>106</v>
      </c>
      <c r="B1" s="16" t="s">
        <v>109</v>
      </c>
      <c r="D1" s="19" t="s">
        <v>55</v>
      </c>
      <c r="E1" s="20" t="s">
        <v>110</v>
      </c>
      <c r="F1" s="20" t="s">
        <v>111</v>
      </c>
      <c r="G1" s="21" t="s">
        <v>112</v>
      </c>
    </row>
    <row r="2" spans="1:7" x14ac:dyDescent="0.25">
      <c r="A2" s="11">
        <v>1</v>
      </c>
      <c r="B2" s="12">
        <v>68</v>
      </c>
      <c r="D2" s="2" t="s">
        <v>56</v>
      </c>
      <c r="E2" s="17">
        <v>68</v>
      </c>
      <c r="F2" s="17">
        <v>45</v>
      </c>
      <c r="G2" s="18">
        <f>F2/E2*100</f>
        <v>66.17647058823529</v>
      </c>
    </row>
    <row r="3" spans="1:7" x14ac:dyDescent="0.25">
      <c r="A3" s="11">
        <v>2</v>
      </c>
      <c r="B3" s="12">
        <v>91</v>
      </c>
      <c r="D3" s="2" t="s">
        <v>57</v>
      </c>
      <c r="E3" s="17">
        <v>91</v>
      </c>
      <c r="F3" s="17">
        <v>73</v>
      </c>
      <c r="G3" s="18">
        <f t="shared" ref="G3:G6" si="0">F3/E3*100</f>
        <v>80.219780219780219</v>
      </c>
    </row>
    <row r="4" spans="1:7" x14ac:dyDescent="0.25">
      <c r="A4" s="11">
        <v>3</v>
      </c>
      <c r="B4" s="12">
        <v>123</v>
      </c>
      <c r="D4" s="2" t="s">
        <v>58</v>
      </c>
      <c r="E4" s="17">
        <v>123</v>
      </c>
      <c r="F4" s="17">
        <v>112</v>
      </c>
      <c r="G4" s="18">
        <f t="shared" si="0"/>
        <v>91.056910569105682</v>
      </c>
    </row>
    <row r="5" spans="1:7" x14ac:dyDescent="0.25">
      <c r="A5" s="11">
        <v>4</v>
      </c>
      <c r="B5" s="12">
        <v>46</v>
      </c>
      <c r="D5" s="2" t="s">
        <v>59</v>
      </c>
      <c r="E5" s="17">
        <v>46</v>
      </c>
      <c r="F5" s="17">
        <v>37</v>
      </c>
      <c r="G5" s="18">
        <f t="shared" si="0"/>
        <v>80.434782608695656</v>
      </c>
    </row>
    <row r="6" spans="1:7" x14ac:dyDescent="0.25">
      <c r="A6" s="11">
        <v>5</v>
      </c>
      <c r="B6" s="12">
        <v>33</v>
      </c>
      <c r="D6" s="2" t="s">
        <v>60</v>
      </c>
      <c r="E6" s="17">
        <v>33</v>
      </c>
      <c r="F6" s="17">
        <v>19</v>
      </c>
      <c r="G6" s="18">
        <f t="shared" si="0"/>
        <v>57.575757575757578</v>
      </c>
    </row>
    <row r="7" spans="1:7" x14ac:dyDescent="0.25">
      <c r="A7" s="11" t="s">
        <v>107</v>
      </c>
      <c r="B7" s="12">
        <v>361</v>
      </c>
    </row>
    <row r="15" spans="1:7" x14ac:dyDescent="0.25">
      <c r="F15" t="s">
        <v>113</v>
      </c>
    </row>
  </sheetData>
  <pageMargins left="0.7" right="0.7" top="0.75" bottom="0.75" header="0.3" footer="0.3"/>
  <pageSetup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>
      <selection sqref="A1:G61"/>
    </sheetView>
  </sheetViews>
  <sheetFormatPr defaultRowHeight="15" x14ac:dyDescent="0.25"/>
  <cols>
    <col min="1" max="1" width="11" style="13" bestFit="1" customWidth="1"/>
    <col min="2" max="2" width="14.42578125" style="13" bestFit="1" customWidth="1"/>
    <col min="3" max="3" width="13.140625" style="13" bestFit="1" customWidth="1"/>
    <col min="4" max="4" width="11.7109375" style="13" bestFit="1" customWidth="1"/>
    <col min="5" max="5" width="14.140625" style="13" bestFit="1" customWidth="1"/>
    <col min="6" max="6" width="25.7109375" style="13" bestFit="1" customWidth="1"/>
    <col min="7" max="7" width="14.7109375" style="13" bestFit="1" customWidth="1"/>
    <col min="8" max="16384" width="9.140625" style="13"/>
  </cols>
  <sheetData>
    <row r="1" spans="1:7" x14ac:dyDescent="0.25">
      <c r="A1" s="14" t="s">
        <v>8</v>
      </c>
      <c r="B1" s="14" t="s">
        <v>54</v>
      </c>
      <c r="C1" s="14" t="s">
        <v>61</v>
      </c>
      <c r="D1" s="14" t="s">
        <v>62</v>
      </c>
      <c r="E1" s="14" t="s">
        <v>63</v>
      </c>
      <c r="F1" s="14" t="s">
        <v>64</v>
      </c>
      <c r="G1" s="14" t="s">
        <v>105</v>
      </c>
    </row>
    <row r="2" spans="1:7" x14ac:dyDescent="0.25">
      <c r="A2" s="13">
        <v>1</v>
      </c>
      <c r="B2" s="13">
        <v>1</v>
      </c>
      <c r="C2" s="13" t="s">
        <v>65</v>
      </c>
      <c r="D2" s="13">
        <v>8</v>
      </c>
      <c r="E2" s="13" t="s">
        <v>66</v>
      </c>
      <c r="F2" s="13" t="s">
        <v>67</v>
      </c>
      <c r="G2" s="13" t="str">
        <f>PROPER(TRIM(C2))</f>
        <v>Lagos</v>
      </c>
    </row>
    <row r="3" spans="1:7" x14ac:dyDescent="0.25">
      <c r="A3" s="13">
        <v>2</v>
      </c>
      <c r="B3" s="13">
        <v>2</v>
      </c>
      <c r="C3" s="13" t="s">
        <v>68</v>
      </c>
      <c r="D3" s="13">
        <v>9</v>
      </c>
      <c r="E3" s="13" t="s">
        <v>66</v>
      </c>
      <c r="F3" s="13" t="s">
        <v>69</v>
      </c>
      <c r="G3" s="13" t="str">
        <f t="shared" ref="G3:G61" si="0">PROPER(TRIM(C3))</f>
        <v>Lagos</v>
      </c>
    </row>
    <row r="4" spans="1:7" x14ac:dyDescent="0.25">
      <c r="A4" s="13">
        <v>3</v>
      </c>
      <c r="B4" s="13">
        <v>3</v>
      </c>
      <c r="C4" s="13" t="s">
        <v>68</v>
      </c>
      <c r="D4" s="13">
        <v>13</v>
      </c>
      <c r="E4" s="13" t="s">
        <v>66</v>
      </c>
      <c r="F4" s="13" t="s">
        <v>70</v>
      </c>
      <c r="G4" s="13" t="str">
        <f t="shared" si="0"/>
        <v>Lagos</v>
      </c>
    </row>
    <row r="5" spans="1:7" x14ac:dyDescent="0.25">
      <c r="A5" s="13">
        <v>4</v>
      </c>
      <c r="B5" s="13">
        <v>4</v>
      </c>
      <c r="C5" s="13" t="s">
        <v>71</v>
      </c>
      <c r="D5" s="13">
        <v>5</v>
      </c>
      <c r="E5" s="13" t="s">
        <v>66</v>
      </c>
      <c r="F5" s="13" t="s">
        <v>72</v>
      </c>
      <c r="G5" s="13" t="str">
        <f t="shared" si="0"/>
        <v>Lagos</v>
      </c>
    </row>
    <row r="6" spans="1:7" x14ac:dyDescent="0.25">
      <c r="A6" s="13">
        <v>5</v>
      </c>
      <c r="B6" s="13">
        <v>5</v>
      </c>
      <c r="C6" s="13" t="s">
        <v>73</v>
      </c>
      <c r="D6" s="13">
        <v>3</v>
      </c>
      <c r="E6" s="13" t="s">
        <v>66</v>
      </c>
      <c r="F6" s="13" t="s">
        <v>74</v>
      </c>
      <c r="G6" s="13" t="str">
        <f t="shared" si="0"/>
        <v>Port Harcourt</v>
      </c>
    </row>
    <row r="7" spans="1:7" x14ac:dyDescent="0.25">
      <c r="A7" s="13">
        <v>6</v>
      </c>
      <c r="B7" s="13">
        <v>1</v>
      </c>
      <c r="C7" s="13" t="s">
        <v>75</v>
      </c>
      <c r="D7" s="13">
        <v>8</v>
      </c>
      <c r="E7" s="13" t="s">
        <v>76</v>
      </c>
      <c r="F7" s="13" t="s">
        <v>67</v>
      </c>
      <c r="G7" s="13" t="str">
        <f t="shared" si="0"/>
        <v>Port-Harcourt</v>
      </c>
    </row>
    <row r="8" spans="1:7" x14ac:dyDescent="0.25">
      <c r="A8" s="13">
        <v>7</v>
      </c>
      <c r="B8" s="13">
        <v>2</v>
      </c>
      <c r="C8" s="13" t="s">
        <v>73</v>
      </c>
      <c r="D8" s="13">
        <v>9</v>
      </c>
      <c r="E8" s="13" t="s">
        <v>76</v>
      </c>
      <c r="F8" s="13" t="s">
        <v>77</v>
      </c>
      <c r="G8" s="13" t="str">
        <f t="shared" si="0"/>
        <v>Port Harcourt</v>
      </c>
    </row>
    <row r="9" spans="1:7" x14ac:dyDescent="0.25">
      <c r="A9" s="13">
        <v>8</v>
      </c>
      <c r="B9" s="13">
        <v>3</v>
      </c>
      <c r="C9" s="13" t="s">
        <v>75</v>
      </c>
      <c r="D9" s="13">
        <v>11</v>
      </c>
      <c r="E9" s="13" t="s">
        <v>76</v>
      </c>
      <c r="F9" s="13" t="s">
        <v>78</v>
      </c>
      <c r="G9" s="13" t="str">
        <f t="shared" si="0"/>
        <v>Port-Harcourt</v>
      </c>
    </row>
    <row r="10" spans="1:7" x14ac:dyDescent="0.25">
      <c r="A10" s="13">
        <v>9</v>
      </c>
      <c r="B10" s="13">
        <v>4</v>
      </c>
      <c r="C10" s="13" t="s">
        <v>79</v>
      </c>
      <c r="D10" s="13">
        <v>5</v>
      </c>
      <c r="E10" s="13" t="s">
        <v>76</v>
      </c>
      <c r="F10" s="13" t="s">
        <v>80</v>
      </c>
      <c r="G10" s="13" t="str">
        <f t="shared" si="0"/>
        <v>Ibadan</v>
      </c>
    </row>
    <row r="11" spans="1:7" x14ac:dyDescent="0.25">
      <c r="A11" s="13">
        <v>10</v>
      </c>
      <c r="B11" s="13">
        <v>5</v>
      </c>
      <c r="C11" s="13" t="s">
        <v>81</v>
      </c>
      <c r="D11" s="13">
        <v>4</v>
      </c>
      <c r="E11" s="13" t="s">
        <v>76</v>
      </c>
      <c r="F11" s="13" t="s">
        <v>82</v>
      </c>
      <c r="G11" s="13" t="str">
        <f t="shared" si="0"/>
        <v>Ibadan</v>
      </c>
    </row>
    <row r="12" spans="1:7" x14ac:dyDescent="0.25">
      <c r="A12" s="13">
        <v>11</v>
      </c>
      <c r="B12" s="13">
        <v>1</v>
      </c>
      <c r="C12" s="13" t="s">
        <v>73</v>
      </c>
      <c r="D12" s="13">
        <v>6</v>
      </c>
      <c r="E12" s="13" t="s">
        <v>83</v>
      </c>
      <c r="F12" s="13" t="s">
        <v>84</v>
      </c>
      <c r="G12" s="13" t="str">
        <f t="shared" si="0"/>
        <v>Port Harcourt</v>
      </c>
    </row>
    <row r="13" spans="1:7" x14ac:dyDescent="0.25">
      <c r="A13" s="13">
        <v>12</v>
      </c>
      <c r="B13" s="13">
        <v>2</v>
      </c>
      <c r="C13" s="13" t="s">
        <v>85</v>
      </c>
      <c r="D13" s="13">
        <v>7</v>
      </c>
      <c r="E13" s="13" t="s">
        <v>83</v>
      </c>
      <c r="F13" s="13" t="s">
        <v>77</v>
      </c>
      <c r="G13" s="13" t="str">
        <f t="shared" si="0"/>
        <v>Abuja</v>
      </c>
    </row>
    <row r="14" spans="1:7" x14ac:dyDescent="0.25">
      <c r="A14" s="13">
        <v>13</v>
      </c>
      <c r="B14" s="13">
        <v>3</v>
      </c>
      <c r="C14" s="13" t="s">
        <v>86</v>
      </c>
      <c r="D14" s="13">
        <v>13</v>
      </c>
      <c r="E14" s="13" t="s">
        <v>83</v>
      </c>
      <c r="F14" s="13" t="s">
        <v>78</v>
      </c>
      <c r="G14" s="13" t="str">
        <f t="shared" si="0"/>
        <v>Lagos</v>
      </c>
    </row>
    <row r="15" spans="1:7" x14ac:dyDescent="0.25">
      <c r="A15" s="13">
        <v>14</v>
      </c>
      <c r="B15" s="13">
        <v>4</v>
      </c>
      <c r="C15" s="13" t="s">
        <v>73</v>
      </c>
      <c r="D15" s="13">
        <v>4</v>
      </c>
      <c r="E15" s="13" t="s">
        <v>83</v>
      </c>
      <c r="F15" s="13" t="s">
        <v>72</v>
      </c>
      <c r="G15" s="13" t="str">
        <f t="shared" si="0"/>
        <v>Port Harcourt</v>
      </c>
    </row>
    <row r="16" spans="1:7" x14ac:dyDescent="0.25">
      <c r="A16" s="13">
        <v>15</v>
      </c>
      <c r="B16" s="13">
        <v>5</v>
      </c>
      <c r="C16" s="13" t="s">
        <v>73</v>
      </c>
      <c r="D16" s="13">
        <v>3</v>
      </c>
      <c r="E16" s="13" t="s">
        <v>83</v>
      </c>
      <c r="F16" s="13" t="s">
        <v>82</v>
      </c>
      <c r="G16" s="13" t="str">
        <f t="shared" si="0"/>
        <v>Port Harcourt</v>
      </c>
    </row>
    <row r="17" spans="1:7" x14ac:dyDescent="0.25">
      <c r="A17" s="13">
        <v>16</v>
      </c>
      <c r="B17" s="13">
        <v>1</v>
      </c>
      <c r="C17" s="13" t="s">
        <v>87</v>
      </c>
      <c r="D17" s="13">
        <v>6</v>
      </c>
      <c r="E17" s="13" t="s">
        <v>88</v>
      </c>
      <c r="F17" s="13" t="s">
        <v>89</v>
      </c>
      <c r="G17" s="13" t="str">
        <f t="shared" si="0"/>
        <v>Abuja</v>
      </c>
    </row>
    <row r="18" spans="1:7" x14ac:dyDescent="0.25">
      <c r="A18" s="13">
        <v>17</v>
      </c>
      <c r="B18" s="13">
        <v>2</v>
      </c>
      <c r="C18" s="13" t="s">
        <v>90</v>
      </c>
      <c r="D18" s="13">
        <v>8</v>
      </c>
      <c r="E18" s="13" t="s">
        <v>88</v>
      </c>
      <c r="F18" s="13" t="s">
        <v>91</v>
      </c>
      <c r="G18" s="13" t="str">
        <f t="shared" si="0"/>
        <v>Abuja</v>
      </c>
    </row>
    <row r="19" spans="1:7" x14ac:dyDescent="0.25">
      <c r="A19" s="13">
        <v>18</v>
      </c>
      <c r="B19" s="13">
        <v>3</v>
      </c>
      <c r="C19" s="13" t="s">
        <v>71</v>
      </c>
      <c r="D19" s="13">
        <v>11</v>
      </c>
      <c r="E19" s="13" t="s">
        <v>88</v>
      </c>
      <c r="F19" s="13" t="s">
        <v>70</v>
      </c>
      <c r="G19" s="13" t="str">
        <f t="shared" si="0"/>
        <v>Lagos</v>
      </c>
    </row>
    <row r="20" spans="1:7" x14ac:dyDescent="0.25">
      <c r="A20" s="13">
        <v>19</v>
      </c>
      <c r="B20" s="13">
        <v>4</v>
      </c>
      <c r="C20" s="13" t="s">
        <v>92</v>
      </c>
      <c r="D20" s="13">
        <v>4</v>
      </c>
      <c r="E20" s="13" t="s">
        <v>88</v>
      </c>
      <c r="F20" s="13" t="s">
        <v>80</v>
      </c>
      <c r="G20" s="13" t="str">
        <f t="shared" si="0"/>
        <v>Ibadan</v>
      </c>
    </row>
    <row r="21" spans="1:7" x14ac:dyDescent="0.25">
      <c r="A21" s="13">
        <v>20</v>
      </c>
      <c r="B21" s="13">
        <v>5</v>
      </c>
      <c r="C21" s="13" t="s">
        <v>73</v>
      </c>
      <c r="D21" s="13">
        <v>3</v>
      </c>
      <c r="E21" s="13" t="s">
        <v>88</v>
      </c>
      <c r="F21" s="13" t="s">
        <v>82</v>
      </c>
      <c r="G21" s="13" t="str">
        <f t="shared" si="0"/>
        <v>Port Harcourt</v>
      </c>
    </row>
    <row r="22" spans="1:7" x14ac:dyDescent="0.25">
      <c r="A22" s="13">
        <v>21</v>
      </c>
      <c r="B22" s="13">
        <v>1</v>
      </c>
      <c r="C22" s="13" t="s">
        <v>81</v>
      </c>
      <c r="D22" s="13">
        <v>6</v>
      </c>
      <c r="E22" s="13" t="s">
        <v>93</v>
      </c>
      <c r="F22" s="13" t="s">
        <v>94</v>
      </c>
      <c r="G22" s="13" t="str">
        <f t="shared" si="0"/>
        <v>Ibadan</v>
      </c>
    </row>
    <row r="23" spans="1:7" x14ac:dyDescent="0.25">
      <c r="A23" s="13">
        <v>22</v>
      </c>
      <c r="B23" s="13">
        <v>2</v>
      </c>
      <c r="C23" s="13" t="s">
        <v>95</v>
      </c>
      <c r="D23" s="13">
        <v>7</v>
      </c>
      <c r="E23" s="13" t="s">
        <v>93</v>
      </c>
      <c r="F23" s="13" t="s">
        <v>69</v>
      </c>
      <c r="G23" s="13" t="str">
        <f t="shared" si="0"/>
        <v>Port Harcourt</v>
      </c>
    </row>
    <row r="24" spans="1:7" x14ac:dyDescent="0.25">
      <c r="A24" s="13">
        <v>23</v>
      </c>
      <c r="B24" s="13">
        <v>3</v>
      </c>
      <c r="C24" s="13" t="s">
        <v>87</v>
      </c>
      <c r="D24" s="13">
        <v>10</v>
      </c>
      <c r="E24" s="13" t="s">
        <v>93</v>
      </c>
      <c r="F24" s="13" t="s">
        <v>78</v>
      </c>
      <c r="G24" s="13" t="str">
        <f t="shared" si="0"/>
        <v>Abuja</v>
      </c>
    </row>
    <row r="25" spans="1:7" x14ac:dyDescent="0.25">
      <c r="A25" s="13">
        <v>24</v>
      </c>
      <c r="B25" s="13">
        <v>4</v>
      </c>
      <c r="C25" s="13" t="s">
        <v>68</v>
      </c>
      <c r="D25" s="13">
        <v>3</v>
      </c>
      <c r="E25" s="13" t="s">
        <v>93</v>
      </c>
      <c r="F25" s="13" t="s">
        <v>80</v>
      </c>
      <c r="G25" s="13" t="str">
        <f t="shared" si="0"/>
        <v>Lagos</v>
      </c>
    </row>
    <row r="26" spans="1:7" x14ac:dyDescent="0.25">
      <c r="A26" s="13">
        <v>25</v>
      </c>
      <c r="B26" s="13">
        <v>5</v>
      </c>
      <c r="C26" s="13" t="s">
        <v>79</v>
      </c>
      <c r="D26" s="13">
        <v>3</v>
      </c>
      <c r="E26" s="13" t="s">
        <v>93</v>
      </c>
      <c r="F26" s="13" t="s">
        <v>74</v>
      </c>
      <c r="G26" s="13" t="str">
        <f t="shared" si="0"/>
        <v>Ibadan</v>
      </c>
    </row>
    <row r="27" spans="1:7" x14ac:dyDescent="0.25">
      <c r="A27" s="13">
        <v>26</v>
      </c>
      <c r="B27" s="13">
        <v>1</v>
      </c>
      <c r="C27" s="13" t="s">
        <v>79</v>
      </c>
      <c r="D27" s="13">
        <v>5</v>
      </c>
      <c r="E27" s="13" t="s">
        <v>96</v>
      </c>
      <c r="F27" s="13" t="s">
        <v>94</v>
      </c>
      <c r="G27" s="13" t="str">
        <f t="shared" si="0"/>
        <v>Ibadan</v>
      </c>
    </row>
    <row r="28" spans="1:7" x14ac:dyDescent="0.25">
      <c r="A28" s="13">
        <v>27</v>
      </c>
      <c r="B28" s="13">
        <v>2</v>
      </c>
      <c r="C28" s="13" t="s">
        <v>68</v>
      </c>
      <c r="D28" s="13">
        <v>9</v>
      </c>
      <c r="E28" s="13" t="s">
        <v>96</v>
      </c>
      <c r="F28" s="13" t="s">
        <v>69</v>
      </c>
      <c r="G28" s="13" t="str">
        <f t="shared" si="0"/>
        <v>Lagos</v>
      </c>
    </row>
    <row r="29" spans="1:7" x14ac:dyDescent="0.25">
      <c r="A29" s="13">
        <v>28</v>
      </c>
      <c r="B29" s="13">
        <v>3</v>
      </c>
      <c r="C29" s="13" t="s">
        <v>75</v>
      </c>
      <c r="D29" s="13">
        <v>11</v>
      </c>
      <c r="E29" s="13" t="s">
        <v>96</v>
      </c>
      <c r="F29" s="13" t="s">
        <v>70</v>
      </c>
      <c r="G29" s="13" t="str">
        <f t="shared" si="0"/>
        <v>Port-Harcourt</v>
      </c>
    </row>
    <row r="30" spans="1:7" x14ac:dyDescent="0.25">
      <c r="A30" s="13">
        <v>29</v>
      </c>
      <c r="B30" s="13">
        <v>4</v>
      </c>
      <c r="C30" s="13" t="s">
        <v>85</v>
      </c>
      <c r="D30" s="13">
        <v>3</v>
      </c>
      <c r="E30" s="13" t="s">
        <v>96</v>
      </c>
      <c r="F30" s="13" t="s">
        <v>80</v>
      </c>
      <c r="G30" s="13" t="str">
        <f t="shared" si="0"/>
        <v>Abuja</v>
      </c>
    </row>
    <row r="31" spans="1:7" x14ac:dyDescent="0.25">
      <c r="A31" s="13">
        <v>30</v>
      </c>
      <c r="B31" s="13">
        <v>5</v>
      </c>
      <c r="C31" s="13" t="s">
        <v>73</v>
      </c>
      <c r="D31" s="13">
        <v>3</v>
      </c>
      <c r="E31" s="13" t="s">
        <v>96</v>
      </c>
      <c r="F31" s="13" t="s">
        <v>82</v>
      </c>
      <c r="G31" s="13" t="str">
        <f t="shared" si="0"/>
        <v>Port Harcourt</v>
      </c>
    </row>
    <row r="32" spans="1:7" x14ac:dyDescent="0.25">
      <c r="A32" s="13">
        <v>31</v>
      </c>
      <c r="B32" s="13">
        <v>1</v>
      </c>
      <c r="C32" s="13" t="s">
        <v>73</v>
      </c>
      <c r="D32" s="13">
        <v>6</v>
      </c>
      <c r="E32" s="13" t="s">
        <v>97</v>
      </c>
      <c r="F32" s="13" t="s">
        <v>67</v>
      </c>
      <c r="G32" s="13" t="str">
        <f t="shared" si="0"/>
        <v>Port Harcourt</v>
      </c>
    </row>
    <row r="33" spans="1:7" x14ac:dyDescent="0.25">
      <c r="A33" s="13">
        <v>32</v>
      </c>
      <c r="B33" s="13">
        <v>2</v>
      </c>
      <c r="C33" s="13" t="s">
        <v>90</v>
      </c>
      <c r="D33" s="13">
        <v>7</v>
      </c>
      <c r="E33" s="13" t="s">
        <v>97</v>
      </c>
      <c r="F33" s="13" t="s">
        <v>69</v>
      </c>
      <c r="G33" s="13" t="str">
        <f t="shared" si="0"/>
        <v>Abuja</v>
      </c>
    </row>
    <row r="34" spans="1:7" x14ac:dyDescent="0.25">
      <c r="A34" s="13">
        <v>33</v>
      </c>
      <c r="B34" s="13">
        <v>3</v>
      </c>
      <c r="C34" s="13" t="s">
        <v>95</v>
      </c>
      <c r="D34" s="13">
        <v>11</v>
      </c>
      <c r="E34" s="13" t="s">
        <v>97</v>
      </c>
      <c r="F34" s="13" t="s">
        <v>70</v>
      </c>
      <c r="G34" s="13" t="str">
        <f t="shared" si="0"/>
        <v>Port Harcourt</v>
      </c>
    </row>
    <row r="35" spans="1:7" x14ac:dyDescent="0.25">
      <c r="A35" s="13">
        <v>34</v>
      </c>
      <c r="B35" s="13">
        <v>4</v>
      </c>
      <c r="C35" s="13" t="s">
        <v>75</v>
      </c>
      <c r="D35" s="13">
        <v>3</v>
      </c>
      <c r="E35" s="13" t="s">
        <v>97</v>
      </c>
      <c r="F35" s="13" t="s">
        <v>80</v>
      </c>
      <c r="G35" s="13" t="str">
        <f t="shared" si="0"/>
        <v>Port-Harcourt</v>
      </c>
    </row>
    <row r="36" spans="1:7" x14ac:dyDescent="0.25">
      <c r="A36" s="13">
        <v>35</v>
      </c>
      <c r="B36" s="13">
        <v>5</v>
      </c>
      <c r="C36" s="13" t="s">
        <v>68</v>
      </c>
      <c r="D36" s="13">
        <v>2</v>
      </c>
      <c r="E36" s="13" t="s">
        <v>97</v>
      </c>
      <c r="F36" s="13" t="s">
        <v>82</v>
      </c>
      <c r="G36" s="13" t="str">
        <f t="shared" si="0"/>
        <v>Lagos</v>
      </c>
    </row>
    <row r="37" spans="1:7" x14ac:dyDescent="0.25">
      <c r="A37" s="13">
        <v>36</v>
      </c>
      <c r="B37" s="13">
        <v>1</v>
      </c>
      <c r="C37" s="13" t="s">
        <v>71</v>
      </c>
      <c r="D37" s="13">
        <v>5</v>
      </c>
      <c r="E37" s="13" t="s">
        <v>98</v>
      </c>
      <c r="F37" s="13" t="s">
        <v>67</v>
      </c>
      <c r="G37" s="13" t="str">
        <f t="shared" si="0"/>
        <v>Lagos</v>
      </c>
    </row>
    <row r="38" spans="1:7" x14ac:dyDescent="0.25">
      <c r="A38" s="13">
        <v>37</v>
      </c>
      <c r="B38" s="13">
        <v>2</v>
      </c>
      <c r="C38" s="13" t="s">
        <v>85</v>
      </c>
      <c r="D38" s="13">
        <v>8</v>
      </c>
      <c r="E38" s="13" t="s">
        <v>98</v>
      </c>
      <c r="F38" s="13" t="s">
        <v>69</v>
      </c>
      <c r="G38" s="13" t="str">
        <f t="shared" si="0"/>
        <v>Abuja</v>
      </c>
    </row>
    <row r="39" spans="1:7" x14ac:dyDescent="0.25">
      <c r="A39" s="13">
        <v>38</v>
      </c>
      <c r="B39" s="13">
        <v>3</v>
      </c>
      <c r="C39" s="13" t="s">
        <v>81</v>
      </c>
      <c r="D39" s="13">
        <v>10</v>
      </c>
      <c r="E39" s="13" t="s">
        <v>98</v>
      </c>
      <c r="F39" s="13" t="s">
        <v>70</v>
      </c>
      <c r="G39" s="13" t="str">
        <f t="shared" si="0"/>
        <v>Ibadan</v>
      </c>
    </row>
    <row r="40" spans="1:7" x14ac:dyDescent="0.25">
      <c r="A40" s="13">
        <v>39</v>
      </c>
      <c r="B40" s="13">
        <v>4</v>
      </c>
      <c r="C40" s="13" t="s">
        <v>79</v>
      </c>
      <c r="D40" s="13">
        <v>4</v>
      </c>
      <c r="E40" s="13" t="s">
        <v>98</v>
      </c>
      <c r="F40" s="13" t="s">
        <v>72</v>
      </c>
      <c r="G40" s="13" t="str">
        <f t="shared" si="0"/>
        <v>Ibadan</v>
      </c>
    </row>
    <row r="41" spans="1:7" x14ac:dyDescent="0.25">
      <c r="A41" s="13">
        <v>40</v>
      </c>
      <c r="B41" s="13">
        <v>5</v>
      </c>
      <c r="C41" s="13" t="s">
        <v>81</v>
      </c>
      <c r="D41" s="13">
        <v>3</v>
      </c>
      <c r="E41" s="13" t="s">
        <v>98</v>
      </c>
      <c r="F41" s="13" t="s">
        <v>74</v>
      </c>
      <c r="G41" s="13" t="str">
        <f t="shared" si="0"/>
        <v>Ibadan</v>
      </c>
    </row>
    <row r="42" spans="1:7" x14ac:dyDescent="0.25">
      <c r="A42" s="13">
        <v>41</v>
      </c>
      <c r="B42" s="13">
        <v>1</v>
      </c>
      <c r="C42" s="13" t="s">
        <v>73</v>
      </c>
      <c r="D42" s="13">
        <v>5</v>
      </c>
      <c r="E42" s="13" t="s">
        <v>99</v>
      </c>
      <c r="F42" s="13" t="s">
        <v>67</v>
      </c>
      <c r="G42" s="13" t="str">
        <f t="shared" si="0"/>
        <v>Port Harcourt</v>
      </c>
    </row>
    <row r="43" spans="1:7" x14ac:dyDescent="0.25">
      <c r="A43" s="13">
        <v>42</v>
      </c>
      <c r="B43" s="13">
        <v>2</v>
      </c>
      <c r="C43" s="13" t="s">
        <v>68</v>
      </c>
      <c r="D43" s="13">
        <v>8</v>
      </c>
      <c r="E43" s="13" t="s">
        <v>99</v>
      </c>
      <c r="F43" s="13" t="s">
        <v>69</v>
      </c>
      <c r="G43" s="13" t="str">
        <f t="shared" si="0"/>
        <v>Lagos</v>
      </c>
    </row>
    <row r="44" spans="1:7" x14ac:dyDescent="0.25">
      <c r="A44" s="13">
        <v>43</v>
      </c>
      <c r="B44" s="13">
        <v>3</v>
      </c>
      <c r="C44" s="13" t="s">
        <v>87</v>
      </c>
      <c r="D44" s="13">
        <v>11</v>
      </c>
      <c r="E44" s="13" t="s">
        <v>99</v>
      </c>
      <c r="F44" s="13" t="s">
        <v>70</v>
      </c>
      <c r="G44" s="13" t="str">
        <f t="shared" si="0"/>
        <v>Abuja</v>
      </c>
    </row>
    <row r="45" spans="1:7" x14ac:dyDescent="0.25">
      <c r="A45" s="13">
        <v>44</v>
      </c>
      <c r="B45" s="13">
        <v>4</v>
      </c>
      <c r="C45" s="13" t="s">
        <v>71</v>
      </c>
      <c r="D45" s="13">
        <v>5</v>
      </c>
      <c r="E45" s="13" t="s">
        <v>99</v>
      </c>
      <c r="F45" s="13" t="s">
        <v>72</v>
      </c>
      <c r="G45" s="13" t="str">
        <f t="shared" si="0"/>
        <v>Lagos</v>
      </c>
    </row>
    <row r="46" spans="1:7" x14ac:dyDescent="0.25">
      <c r="A46" s="13">
        <v>45</v>
      </c>
      <c r="B46" s="13">
        <v>5</v>
      </c>
      <c r="C46" s="13" t="s">
        <v>90</v>
      </c>
      <c r="D46" s="13">
        <v>3</v>
      </c>
      <c r="E46" s="13" t="s">
        <v>99</v>
      </c>
      <c r="F46" s="13" t="s">
        <v>74</v>
      </c>
      <c r="G46" s="13" t="str">
        <f t="shared" si="0"/>
        <v>Abuja</v>
      </c>
    </row>
    <row r="47" spans="1:7" x14ac:dyDescent="0.25">
      <c r="A47" s="13">
        <v>46</v>
      </c>
      <c r="B47" s="13">
        <v>1</v>
      </c>
      <c r="C47" s="13" t="s">
        <v>81</v>
      </c>
      <c r="D47" s="13">
        <v>6</v>
      </c>
      <c r="E47" s="13" t="s">
        <v>100</v>
      </c>
      <c r="F47" s="13" t="s">
        <v>89</v>
      </c>
      <c r="G47" s="13" t="str">
        <f t="shared" si="0"/>
        <v>Ibadan</v>
      </c>
    </row>
    <row r="48" spans="1:7" x14ac:dyDescent="0.25">
      <c r="A48" s="13">
        <v>47</v>
      </c>
      <c r="B48" s="13">
        <v>2</v>
      </c>
      <c r="C48" s="13" t="s">
        <v>87</v>
      </c>
      <c r="D48" s="13">
        <v>9</v>
      </c>
      <c r="E48" s="13" t="s">
        <v>100</v>
      </c>
      <c r="F48" s="13" t="s">
        <v>77</v>
      </c>
      <c r="G48" s="13" t="str">
        <f t="shared" si="0"/>
        <v>Abuja</v>
      </c>
    </row>
    <row r="49" spans="1:7" x14ac:dyDescent="0.25">
      <c r="A49" s="13">
        <v>48</v>
      </c>
      <c r="B49" s="13">
        <v>3</v>
      </c>
      <c r="C49" s="13" t="s">
        <v>95</v>
      </c>
      <c r="D49" s="13">
        <v>10</v>
      </c>
      <c r="E49" s="13" t="s">
        <v>100</v>
      </c>
      <c r="F49" s="13" t="s">
        <v>78</v>
      </c>
      <c r="G49" s="13" t="str">
        <f t="shared" si="0"/>
        <v>Port Harcourt</v>
      </c>
    </row>
    <row r="50" spans="1:7" x14ac:dyDescent="0.25">
      <c r="A50" s="13">
        <v>49</v>
      </c>
      <c r="B50" s="13">
        <v>4</v>
      </c>
      <c r="C50" s="13" t="s">
        <v>68</v>
      </c>
      <c r="D50" s="13">
        <v>4</v>
      </c>
      <c r="E50" s="13" t="s">
        <v>100</v>
      </c>
      <c r="F50" s="13" t="s">
        <v>80</v>
      </c>
      <c r="G50" s="13" t="str">
        <f t="shared" si="0"/>
        <v>Lagos</v>
      </c>
    </row>
    <row r="51" spans="1:7" x14ac:dyDescent="0.25">
      <c r="A51" s="13">
        <v>50</v>
      </c>
      <c r="B51" s="13">
        <v>5</v>
      </c>
      <c r="C51" s="13" t="s">
        <v>73</v>
      </c>
      <c r="D51" s="13">
        <v>3</v>
      </c>
      <c r="E51" s="13" t="s">
        <v>100</v>
      </c>
      <c r="F51" s="13" t="s">
        <v>74</v>
      </c>
      <c r="G51" s="13" t="str">
        <f t="shared" si="0"/>
        <v>Port Harcourt</v>
      </c>
    </row>
    <row r="52" spans="1:7" x14ac:dyDescent="0.25">
      <c r="A52" s="13">
        <v>51</v>
      </c>
      <c r="B52" s="13">
        <v>1</v>
      </c>
      <c r="C52" s="13" t="s">
        <v>81</v>
      </c>
      <c r="D52" s="13">
        <v>4</v>
      </c>
      <c r="E52" s="13" t="s">
        <v>101</v>
      </c>
      <c r="F52" s="13" t="s">
        <v>89</v>
      </c>
      <c r="G52" s="13" t="str">
        <f t="shared" si="0"/>
        <v>Ibadan</v>
      </c>
    </row>
    <row r="53" spans="1:7" x14ac:dyDescent="0.25">
      <c r="A53" s="13">
        <v>52</v>
      </c>
      <c r="B53" s="13">
        <v>2</v>
      </c>
      <c r="C53" s="13" t="s">
        <v>81</v>
      </c>
      <c r="D53" s="13">
        <v>5</v>
      </c>
      <c r="E53" s="13" t="s">
        <v>101</v>
      </c>
      <c r="F53" s="13" t="s">
        <v>77</v>
      </c>
      <c r="G53" s="13" t="str">
        <f t="shared" si="0"/>
        <v>Ibadan</v>
      </c>
    </row>
    <row r="54" spans="1:7" x14ac:dyDescent="0.25">
      <c r="A54" s="13">
        <v>53</v>
      </c>
      <c r="B54" s="13">
        <v>3</v>
      </c>
      <c r="C54" s="13" t="s">
        <v>68</v>
      </c>
      <c r="D54" s="13">
        <v>7</v>
      </c>
      <c r="E54" s="13" t="s">
        <v>101</v>
      </c>
      <c r="F54" s="13" t="s">
        <v>70</v>
      </c>
      <c r="G54" s="13" t="str">
        <f t="shared" si="0"/>
        <v>Lagos</v>
      </c>
    </row>
    <row r="55" spans="1:7" x14ac:dyDescent="0.25">
      <c r="A55" s="13">
        <v>54</v>
      </c>
      <c r="B55" s="13">
        <v>4</v>
      </c>
      <c r="C55" s="13" t="s">
        <v>87</v>
      </c>
      <c r="D55" s="13">
        <v>4</v>
      </c>
      <c r="E55" s="13" t="s">
        <v>101</v>
      </c>
      <c r="F55" s="13" t="s">
        <v>72</v>
      </c>
      <c r="G55" s="13" t="str">
        <f t="shared" si="0"/>
        <v>Abuja</v>
      </c>
    </row>
    <row r="56" spans="1:7" x14ac:dyDescent="0.25">
      <c r="A56" s="13">
        <v>55</v>
      </c>
      <c r="B56" s="13">
        <v>5</v>
      </c>
      <c r="C56" s="13" t="s">
        <v>85</v>
      </c>
      <c r="D56" s="13">
        <v>2</v>
      </c>
      <c r="E56" s="13" t="s">
        <v>101</v>
      </c>
      <c r="F56" s="13" t="s">
        <v>74</v>
      </c>
      <c r="G56" s="13" t="str">
        <f t="shared" si="0"/>
        <v>Abuja</v>
      </c>
    </row>
    <row r="57" spans="1:7" x14ac:dyDescent="0.25">
      <c r="A57" s="13">
        <v>56</v>
      </c>
      <c r="B57" s="13">
        <v>1</v>
      </c>
      <c r="C57" s="13" t="s">
        <v>86</v>
      </c>
      <c r="D57" s="13">
        <v>3</v>
      </c>
      <c r="E57" s="13" t="s">
        <v>102</v>
      </c>
      <c r="F57" s="13" t="s">
        <v>94</v>
      </c>
      <c r="G57" s="13" t="str">
        <f t="shared" si="0"/>
        <v>Lagos</v>
      </c>
    </row>
    <row r="58" spans="1:7" x14ac:dyDescent="0.25">
      <c r="A58" s="13">
        <v>57</v>
      </c>
      <c r="B58" s="13">
        <v>2</v>
      </c>
      <c r="C58" s="13" t="s">
        <v>92</v>
      </c>
      <c r="D58" s="13">
        <v>5</v>
      </c>
      <c r="E58" s="13" t="s">
        <v>102</v>
      </c>
      <c r="F58" s="13" t="s">
        <v>91</v>
      </c>
      <c r="G58" s="13" t="str">
        <f t="shared" si="0"/>
        <v>Ibadan</v>
      </c>
    </row>
    <row r="59" spans="1:7" x14ac:dyDescent="0.25">
      <c r="A59" s="13">
        <v>58</v>
      </c>
      <c r="B59" s="13">
        <v>3</v>
      </c>
      <c r="C59" s="13" t="s">
        <v>81</v>
      </c>
      <c r="D59" s="13">
        <v>5</v>
      </c>
      <c r="E59" s="13" t="s">
        <v>102</v>
      </c>
      <c r="F59" s="13" t="s">
        <v>70</v>
      </c>
      <c r="G59" s="13" t="str">
        <f t="shared" si="0"/>
        <v>Ibadan</v>
      </c>
    </row>
    <row r="60" spans="1:7" x14ac:dyDescent="0.25">
      <c r="A60" s="13">
        <v>59</v>
      </c>
      <c r="B60" s="13">
        <v>4</v>
      </c>
      <c r="C60" s="13" t="s">
        <v>68</v>
      </c>
      <c r="D60" s="13">
        <v>2</v>
      </c>
      <c r="E60" s="13" t="s">
        <v>102</v>
      </c>
      <c r="F60" s="13" t="s">
        <v>72</v>
      </c>
      <c r="G60" s="13" t="str">
        <f t="shared" si="0"/>
        <v>Lagos</v>
      </c>
    </row>
    <row r="61" spans="1:7" x14ac:dyDescent="0.25">
      <c r="A61" s="13">
        <v>60</v>
      </c>
      <c r="B61" s="13">
        <v>5</v>
      </c>
      <c r="C61" s="13" t="s">
        <v>79</v>
      </c>
      <c r="D61" s="13">
        <v>1</v>
      </c>
      <c r="E61" s="13" t="s">
        <v>102</v>
      </c>
      <c r="F61" s="13" t="s">
        <v>82</v>
      </c>
      <c r="G61" s="13" t="str">
        <f t="shared" si="0"/>
        <v>Ibadan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pivot_hires_by_dept</vt:lpstr>
      <vt:lpstr>pivot_time_to_hire</vt:lpstr>
      <vt:lpstr>hires</vt:lpstr>
      <vt:lpstr>pivot_acceptance_by_source</vt:lpstr>
      <vt:lpstr>candidate</vt:lpstr>
      <vt:lpstr>departments</vt:lpstr>
      <vt:lpstr>pivot_fill_rate_summary</vt:lpstr>
      <vt:lpstr>job_openings</vt:lpstr>
      <vt:lpstr>candidate!candidates</vt:lpstr>
      <vt:lpstr>departments!departments</vt:lpstr>
      <vt:lpstr>job_openings!job_openings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2026-08-28T01:10:48Z</dcterms:created>
  <dcterms:modified xsi:type="dcterms:W3CDTF">2026-08-29T01:24:00Z</dcterms:modified>
</cp:coreProperties>
</file>